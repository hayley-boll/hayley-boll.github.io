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drawings/drawing7.xml" ContentType="application/vnd.openxmlformats-officedocument.drawing+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mc:AlternateContent xmlns:mc="http://schemas.openxmlformats.org/markup-compatibility/2006">
    <mc:Choice Requires="x15">
      <x15ac:absPath xmlns:x15ac="http://schemas.microsoft.com/office/spreadsheetml/2010/11/ac" url="C:\Users\18177\Documents\"/>
    </mc:Choice>
  </mc:AlternateContent>
  <xr:revisionPtr revIDLastSave="0" documentId="13_ncr:1_{87E60B90-C44E-49EA-8453-8002F5FABFBA}" xr6:coauthVersionLast="47" xr6:coauthVersionMax="47" xr10:uidLastSave="{00000000-0000-0000-0000-000000000000}"/>
  <bookViews>
    <workbookView xWindow="-110" yWindow="-110" windowWidth="22780" windowHeight="14660" tabRatio="836" firstSheet="2" activeTab="10" xr2:uid="{30722388-7F80-4B88-9992-45AC76437A14}"/>
  </bookViews>
  <sheets>
    <sheet name="Directory" sheetId="1" r:id="rId1"/>
    <sheet name="Dashboard" sheetId="10" state="hidden" r:id="rId2"/>
    <sheet name="#1 Trip Dreaming" sheetId="2" r:id="rId3"/>
    <sheet name="Itinerary Calendar" sheetId="13" r:id="rId4"/>
    <sheet name="Itinerary" sheetId="12" r:id="rId5"/>
    <sheet name="Itinerary-CODE" sheetId="3" state="hidden" r:id="rId6"/>
    <sheet name="#2 Accomodations" sheetId="4" r:id="rId7"/>
    <sheet name="#3 Transportation" sheetId="5" r:id="rId8"/>
    <sheet name="#4 Building a Budget" sheetId="15" r:id="rId9"/>
    <sheet name="#5 Packing List" sheetId="7" r:id="rId10"/>
    <sheet name="#6 Booking Checklist" sheetId="20" r:id="rId11"/>
    <sheet name="Plan Checklist" sheetId="8" state="hidden" r:id="rId12"/>
  </sheets>
  <definedNames>
    <definedName name="CalendarYear" localSheetId="3">'Itinerary Calendar'!$F$3</definedName>
    <definedName name="CalendarYear">'Itinerary-CODE'!$K$2</definedName>
    <definedName name="ColumnTitleRegion1..H12.1" localSheetId="3">'Itinerary Calendar'!$B$11</definedName>
    <definedName name="ColumnTitleRegion1..H12.1">#REF!</definedName>
    <definedName name="ColumnTitleRegion2..C14.1" localSheetId="3">'Itinerary Calendar'!$B$11</definedName>
    <definedName name="ColumnTitleRegion2..C14.1">#REF!</definedName>
    <definedName name="DaysAndWeeks" localSheetId="3">{0,1,2,3,4,5,6} + {0;1;2;3;4;5}*7</definedName>
    <definedName name="DaysAndWeeks">{0,1,2,3,4,5,6} + {0;1;2;3;4;5}*7</definedName>
    <definedName name="DaysAndWeeks1">{0,1,2,3,4,5,6} + {0;1;2;3;4;5}*7</definedName>
    <definedName name="DreamStartDate">'#1 Trip Dreaming'!$E$3</definedName>
    <definedName name="DreamStartMonth">'Itinerary Calendar'!$H$3</definedName>
    <definedName name="DreamStartMonth2">'Itinerary Calendar'!$N$2</definedName>
    <definedName name="DreamStartMonth3">'Itinerary Calendar'!$N$3</definedName>
    <definedName name="DreamStartYear">'Itinerary Calendar'!$G$3</definedName>
    <definedName name="_xlnm.Print_Area" localSheetId="3">'Itinerary Calendar'!$A$10:$H$41</definedName>
    <definedName name="RowTitleRegion1..K3" localSheetId="3">'Itinerary Calendar'!$J$11</definedName>
    <definedName name="RowTitleRegion1..K3">#REF!</definedName>
    <definedName name="WeekStart" localSheetId="3">'Itinerary Calendar'!#REF!</definedName>
    <definedName name="WeekStart">'Itinerary-CODE'!$K$3</definedName>
    <definedName name="WeekStart1">'Itinerary-CODE'!$H$3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3" i="4" l="1"/>
  <c r="AA11" i="15"/>
  <c r="AA10" i="15"/>
  <c r="AA9" i="15"/>
  <c r="I6" i="15" l="1"/>
  <c r="H3" i="5"/>
  <c r="T8" i="15" s="1"/>
  <c r="AA6" i="15" s="1"/>
  <c r="J3" i="4" l="1"/>
  <c r="N18" i="2"/>
  <c r="K19" i="2" s="1"/>
  <c r="N7" i="2"/>
  <c r="M7" i="2" s="1"/>
  <c r="D8" i="4" s="1"/>
  <c r="N8" i="2"/>
  <c r="M8" i="2" s="1"/>
  <c r="D9" i="4" s="1"/>
  <c r="N9" i="2"/>
  <c r="N10" i="2"/>
  <c r="M10" i="2" s="1"/>
  <c r="D11" i="4" s="1"/>
  <c r="N11" i="2"/>
  <c r="E12" i="4" s="1"/>
  <c r="N12" i="2"/>
  <c r="M12" i="2" s="1"/>
  <c r="D13" i="4" s="1"/>
  <c r="N13" i="2"/>
  <c r="E14" i="4" s="1"/>
  <c r="N14" i="2"/>
  <c r="E15" i="4" s="1"/>
  <c r="N15" i="2"/>
  <c r="E16" i="4" s="1"/>
  <c r="N16" i="2"/>
  <c r="M16" i="2" s="1"/>
  <c r="D17" i="4" s="1"/>
  <c r="N17" i="2"/>
  <c r="E18" i="4" s="1"/>
  <c r="N19" i="2"/>
  <c r="K20" i="2" s="1"/>
  <c r="N20" i="2"/>
  <c r="K21" i="2" s="1"/>
  <c r="N21" i="2"/>
  <c r="K22" i="2" s="1"/>
  <c r="N22" i="2"/>
  <c r="K23" i="2" s="1"/>
  <c r="N23" i="2"/>
  <c r="K24" i="2" s="1"/>
  <c r="N24" i="2"/>
  <c r="M24" i="2" s="1"/>
  <c r="D25" i="4" s="1"/>
  <c r="N25" i="2"/>
  <c r="E26" i="4" s="1"/>
  <c r="N26" i="2"/>
  <c r="K27" i="2" s="1"/>
  <c r="N27" i="2"/>
  <c r="K28" i="2" s="1"/>
  <c r="N28" i="2"/>
  <c r="K29" i="2" s="1"/>
  <c r="N29" i="2"/>
  <c r="K30" i="2" s="1"/>
  <c r="N30" i="2"/>
  <c r="E31" i="4" s="1"/>
  <c r="N6" i="2"/>
  <c r="E7" i="4" s="1"/>
  <c r="K6" i="2"/>
  <c r="B7" i="4" s="1"/>
  <c r="B9" i="12"/>
  <c r="B10" i="12" s="1"/>
  <c r="B11" i="12" s="1"/>
  <c r="B12" i="12" s="1"/>
  <c r="B13" i="12" s="1"/>
  <c r="B14" i="12" s="1"/>
  <c r="B15" i="12" s="1"/>
  <c r="B16" i="12" s="1"/>
  <c r="B17" i="12" s="1"/>
  <c r="B18" i="12" s="1"/>
  <c r="B19" i="12" s="1"/>
  <c r="B20" i="12" s="1"/>
  <c r="B21" i="12" s="1"/>
  <c r="B22" i="12" s="1"/>
  <c r="B23" i="12" s="1"/>
  <c r="B24" i="12" s="1"/>
  <c r="B25" i="12" s="1"/>
  <c r="B26" i="12" s="1"/>
  <c r="B27" i="12" s="1"/>
  <c r="B28" i="12" s="1"/>
  <c r="B29" i="12" s="1"/>
  <c r="B30" i="12" s="1"/>
  <c r="B31" i="12" s="1"/>
  <c r="B32" i="12" s="1"/>
  <c r="B33" i="12" s="1"/>
  <c r="B34" i="12" s="1"/>
  <c r="B35" i="12" s="1"/>
  <c r="B36" i="12" s="1"/>
  <c r="B37" i="12" s="1"/>
  <c r="B38" i="12" s="1"/>
  <c r="B39" i="12" s="1"/>
  <c r="B40" i="12" s="1"/>
  <c r="B41" i="12" s="1"/>
  <c r="B42" i="12" s="1"/>
  <c r="B43" i="12" s="1"/>
  <c r="B44" i="12" s="1"/>
  <c r="B45" i="12" s="1"/>
  <c r="B46" i="12" s="1"/>
  <c r="B47" i="12" s="1"/>
  <c r="B48" i="12" s="1"/>
  <c r="B49" i="12" s="1"/>
  <c r="B50" i="12" s="1"/>
  <c r="B51" i="12" s="1"/>
  <c r="B52" i="12" s="1"/>
  <c r="B53" i="12" s="1"/>
  <c r="B54" i="12" s="1"/>
  <c r="B55" i="12" s="1"/>
  <c r="B56" i="12" s="1"/>
  <c r="B57" i="12" s="1"/>
  <c r="B58" i="12" s="1"/>
  <c r="B59" i="12" s="1"/>
  <c r="B60" i="12" s="1"/>
  <c r="B61" i="12" s="1"/>
  <c r="B62" i="12" s="1"/>
  <c r="B63" i="12" s="1"/>
  <c r="B64" i="12" s="1"/>
  <c r="B65" i="12" s="1"/>
  <c r="B66" i="12" s="1"/>
  <c r="B67" i="12" s="1"/>
  <c r="B68" i="12" s="1"/>
  <c r="B69" i="12" s="1"/>
  <c r="B70" i="12" s="1"/>
  <c r="B71" i="12" s="1"/>
  <c r="B72" i="12" s="1"/>
  <c r="B73" i="12" s="1"/>
  <c r="B74" i="12" s="1"/>
  <c r="B75" i="12" s="1"/>
  <c r="B76" i="12" s="1"/>
  <c r="B77" i="12" s="1"/>
  <c r="B78" i="12" s="1"/>
  <c r="B79" i="12" s="1"/>
  <c r="B80" i="12" s="1"/>
  <c r="B81" i="12" s="1"/>
  <c r="B82" i="12" s="1"/>
  <c r="B83" i="12" s="1"/>
  <c r="B84" i="12" s="1"/>
  <c r="B85" i="12" s="1"/>
  <c r="B86" i="12" s="1"/>
  <c r="B87" i="12" s="1"/>
  <c r="B88" i="12" s="1"/>
  <c r="B89" i="12" s="1"/>
  <c r="B90" i="12" s="1"/>
  <c r="B91" i="12" s="1"/>
  <c r="B92" i="12" s="1"/>
  <c r="B93" i="12" s="1"/>
  <c r="B94" i="12" s="1"/>
  <c r="B95" i="12" s="1"/>
  <c r="B96" i="12" s="1"/>
  <c r="B97" i="12" s="1"/>
  <c r="B98" i="12" s="1"/>
  <c r="B99" i="12" s="1"/>
  <c r="B100" i="12" s="1"/>
  <c r="B101" i="12" s="1"/>
  <c r="B102" i="12" s="1"/>
  <c r="B103" i="12" s="1"/>
  <c r="B104" i="12" s="1"/>
  <c r="B105" i="12" s="1"/>
  <c r="B106" i="12" s="1"/>
  <c r="B107" i="12" s="1"/>
  <c r="B108" i="12" s="1"/>
  <c r="B4" i="3" a="1"/>
  <c r="F3" i="13"/>
  <c r="G3" i="13"/>
  <c r="H3" i="13"/>
  <c r="N3" i="13" s="1"/>
  <c r="B2" i="3"/>
  <c r="B4" i="3" l="1"/>
  <c r="D22" i="13"/>
  <c r="H27" i="13"/>
  <c r="H31" i="13" s="1" a="1"/>
  <c r="H31" i="13" s="1"/>
  <c r="B27" i="13"/>
  <c r="B31" i="13" s="1" a="1"/>
  <c r="B31" i="13" s="1"/>
  <c r="G22" i="13"/>
  <c r="B22" i="13"/>
  <c r="F27" i="13"/>
  <c r="F31" i="13" s="1" a="1"/>
  <c r="F31" i="13" s="1"/>
  <c r="C22" i="13"/>
  <c r="E22" i="13"/>
  <c r="F22" i="13"/>
  <c r="C27" i="13"/>
  <c r="C31" i="13" s="1" a="1"/>
  <c r="C31" i="13" s="1"/>
  <c r="H22" i="13"/>
  <c r="D27" i="13"/>
  <c r="D31" i="13" s="1" a="1"/>
  <c r="D31" i="13" s="1"/>
  <c r="E27" i="13"/>
  <c r="E31" i="13" s="1" a="1"/>
  <c r="E31" i="13" s="1"/>
  <c r="G27" i="13"/>
  <c r="G31" i="13" s="1" a="1"/>
  <c r="G31" i="13" s="1"/>
  <c r="T10" i="15"/>
  <c r="AA7" i="15" s="1"/>
  <c r="E10" i="4"/>
  <c r="M9" i="2"/>
  <c r="D10" i="4" s="1"/>
  <c r="B12" i="13"/>
  <c r="M27" i="2"/>
  <c r="D28" i="4" s="1"/>
  <c r="M26" i="2"/>
  <c r="D27" i="4" s="1"/>
  <c r="E30" i="4"/>
  <c r="M20" i="2"/>
  <c r="D21" i="4" s="1"/>
  <c r="E27" i="4"/>
  <c r="M19" i="2"/>
  <c r="D20" i="4" s="1"/>
  <c r="E22" i="4"/>
  <c r="M18" i="2"/>
  <c r="D19" i="4" s="1"/>
  <c r="E13" i="4"/>
  <c r="M17" i="2"/>
  <c r="D18" i="4" s="1"/>
  <c r="E11" i="4"/>
  <c r="M28" i="2"/>
  <c r="D29" i="4" s="1"/>
  <c r="M6" i="2"/>
  <c r="D7" i="4" s="1"/>
  <c r="M15" i="2"/>
  <c r="D16" i="4" s="1"/>
  <c r="E25" i="4"/>
  <c r="K26" i="2"/>
  <c r="M30" i="2"/>
  <c r="D31" i="4" s="1"/>
  <c r="M22" i="2"/>
  <c r="D23" i="4" s="1"/>
  <c r="M14" i="2"/>
  <c r="D15" i="4" s="1"/>
  <c r="E24" i="4"/>
  <c r="E8" i="4"/>
  <c r="K25" i="2"/>
  <c r="M25" i="2"/>
  <c r="D26" i="4" s="1"/>
  <c r="M23" i="2"/>
  <c r="D24" i="4" s="1"/>
  <c r="E17" i="4"/>
  <c r="E9" i="4"/>
  <c r="M29" i="2"/>
  <c r="D30" i="4" s="1"/>
  <c r="M21" i="2"/>
  <c r="D22" i="4" s="1"/>
  <c r="M13" i="2"/>
  <c r="D14" i="4" s="1"/>
  <c r="E23" i="4"/>
  <c r="M11" i="2"/>
  <c r="D12" i="4" s="1"/>
  <c r="E29" i="4"/>
  <c r="E21" i="4"/>
  <c r="E28" i="4"/>
  <c r="E20" i="4"/>
  <c r="E19" i="4"/>
  <c r="D40" i="13"/>
  <c r="C104" i="13"/>
  <c r="D104" i="13"/>
  <c r="C103" i="13"/>
  <c r="D103" i="13"/>
  <c r="D102" i="13"/>
  <c r="C102" i="13"/>
  <c r="L6" i="2"/>
  <c r="K7" i="2" s="1"/>
  <c r="N2" i="13"/>
  <c r="C37" i="13"/>
  <c r="C40" i="13" s="1"/>
  <c r="B37" i="13"/>
  <c r="B40" i="13" s="1"/>
  <c r="B10" i="3" a="1"/>
  <c r="B16" i="3" a="1"/>
  <c r="G32" i="13"/>
  <c r="G36" i="13" s="1" a="1"/>
  <c r="G36" i="13" s="1"/>
  <c r="E32" i="13"/>
  <c r="E36" i="13" s="1" a="1"/>
  <c r="E36" i="13" s="1"/>
  <c r="D32" i="13"/>
  <c r="D36" i="13" s="1" a="1"/>
  <c r="D36" i="13" s="1"/>
  <c r="H32" i="13"/>
  <c r="H36" i="13" s="1" a="1"/>
  <c r="H36" i="13" s="1"/>
  <c r="F32" i="13"/>
  <c r="F36" i="13" s="1" a="1"/>
  <c r="F36" i="13" s="1"/>
  <c r="C32" i="13"/>
  <c r="C36" i="13" s="1" a="1"/>
  <c r="C36" i="13" s="1"/>
  <c r="B32" i="13"/>
  <c r="B36" i="13" s="1" a="1"/>
  <c r="B36" i="13" s="1"/>
  <c r="H17" i="13"/>
  <c r="H21" i="13" s="1" a="1"/>
  <c r="H21" i="13" s="1"/>
  <c r="F17" i="13"/>
  <c r="F21" i="13" s="1" a="1"/>
  <c r="F21" i="13" s="1"/>
  <c r="G17" i="13"/>
  <c r="G21" i="13" s="1" a="1"/>
  <c r="G21" i="13" s="1"/>
  <c r="E17" i="13"/>
  <c r="E21" i="13" s="1" a="1"/>
  <c r="E21" i="13" s="1"/>
  <c r="D17" i="13"/>
  <c r="D21" i="13" s="1" a="1"/>
  <c r="D21" i="13" s="1"/>
  <c r="C17" i="13"/>
  <c r="C21" i="13" s="1" a="1"/>
  <c r="C21" i="13" s="1"/>
  <c r="B17" i="13"/>
  <c r="B21" i="13" s="1" a="1"/>
  <c r="B21" i="13" s="1"/>
  <c r="F12" i="13"/>
  <c r="G12" i="13"/>
  <c r="E12" i="13"/>
  <c r="D12" i="13"/>
  <c r="H12" i="13"/>
  <c r="H16" i="13" s="1" a="1"/>
  <c r="H16" i="13" s="1"/>
  <c r="C12" i="13"/>
  <c r="E15" i="13" l="1"/>
  <c r="E16" i="13" a="1"/>
  <c r="E16" i="13" s="1"/>
  <c r="G15" i="13"/>
  <c r="G16" i="13" a="1"/>
  <c r="G16" i="13" s="1"/>
  <c r="F15" i="13"/>
  <c r="F16" i="13" a="1"/>
  <c r="F16" i="13" s="1"/>
  <c r="C15" i="13"/>
  <c r="C16" i="13" a="1"/>
  <c r="C16" i="13" s="1"/>
  <c r="C26" i="13" a="1"/>
  <c r="C26" i="13" s="1"/>
  <c r="C25" i="13"/>
  <c r="C24" i="13"/>
  <c r="C23" i="13"/>
  <c r="D15" i="13"/>
  <c r="D16" i="13" a="1"/>
  <c r="D16" i="13" s="1"/>
  <c r="B25" i="13"/>
  <c r="B26" i="13" a="1"/>
  <c r="B26" i="13" s="1"/>
  <c r="B24" i="13"/>
  <c r="B23" i="13"/>
  <c r="G25" i="13"/>
  <c r="G23" i="13"/>
  <c r="G24" i="13"/>
  <c r="G26" i="13" a="1"/>
  <c r="G26" i="13" s="1"/>
  <c r="H26" i="13" a="1"/>
  <c r="H26" i="13" s="1"/>
  <c r="H25" i="13"/>
  <c r="H24" i="13"/>
  <c r="H23" i="13"/>
  <c r="B13" i="13"/>
  <c r="B16" i="13" a="1"/>
  <c r="B16" i="13" s="1"/>
  <c r="D25" i="13"/>
  <c r="D24" i="13"/>
  <c r="D26" i="13" a="1"/>
  <c r="D26" i="13" s="1"/>
  <c r="D23" i="13"/>
  <c r="F24" i="13"/>
  <c r="F25" i="13"/>
  <c r="F23" i="13"/>
  <c r="F26" i="13" a="1"/>
  <c r="F26" i="13" s="1"/>
  <c r="E23" i="13"/>
  <c r="E26" i="13" a="1"/>
  <c r="E26" i="13" s="1"/>
  <c r="E25" i="13"/>
  <c r="E24" i="13"/>
  <c r="B14" i="13"/>
  <c r="B15" i="13"/>
  <c r="C14" i="13"/>
  <c r="F14" i="13"/>
  <c r="B10" i="13" a="1"/>
  <c r="B10" i="13" s="1"/>
  <c r="D14" i="13"/>
  <c r="E14" i="13"/>
  <c r="B8" i="4"/>
  <c r="C7" i="4"/>
  <c r="F13" i="13"/>
  <c r="E13" i="13"/>
  <c r="D38" i="13"/>
  <c r="D13" i="13"/>
  <c r="C13" i="13"/>
  <c r="B38" i="13"/>
  <c r="C38" i="13"/>
  <c r="B16" i="3"/>
  <c r="B76" i="13" s="1"/>
  <c r="B80" i="13" s="1" a="1"/>
  <c r="B80" i="13" s="1"/>
  <c r="C91" i="13"/>
  <c r="C95" i="13" s="1" a="1"/>
  <c r="C95" i="13" s="1"/>
  <c r="E86" i="13"/>
  <c r="E90" i="13" s="1" a="1"/>
  <c r="E90" i="13" s="1"/>
  <c r="G81" i="13"/>
  <c r="G85" i="13" s="1" a="1"/>
  <c r="G85" i="13" s="1"/>
  <c r="B101" i="13"/>
  <c r="D91" i="13"/>
  <c r="D95" i="13" s="1" a="1"/>
  <c r="D95" i="13" s="1"/>
  <c r="F86" i="13"/>
  <c r="F90" i="13" s="1" a="1"/>
  <c r="F90" i="13" s="1"/>
  <c r="H81" i="13"/>
  <c r="H85" i="13" s="1" a="1"/>
  <c r="H85" i="13" s="1"/>
  <c r="B96" i="13"/>
  <c r="B100" i="13" s="1" a="1"/>
  <c r="B100" i="13" s="1"/>
  <c r="C96" i="13"/>
  <c r="C100" i="13" s="1" a="1"/>
  <c r="C100" i="13" s="1"/>
  <c r="E91" i="13"/>
  <c r="E95" i="13" s="1" a="1"/>
  <c r="E95" i="13" s="1"/>
  <c r="G86" i="13"/>
  <c r="G90" i="13" s="1" a="1"/>
  <c r="G90" i="13" s="1"/>
  <c r="C76" i="13"/>
  <c r="C80" i="13" s="1" a="1"/>
  <c r="C80" i="13" s="1"/>
  <c r="B91" i="13"/>
  <c r="B95" i="13" s="1" a="1"/>
  <c r="B95" i="13" s="1"/>
  <c r="D96" i="13"/>
  <c r="D100" i="13" s="1" a="1"/>
  <c r="D100" i="13" s="1"/>
  <c r="F91" i="13"/>
  <c r="F95" i="13" s="1" a="1"/>
  <c r="F95" i="13" s="1"/>
  <c r="H86" i="13"/>
  <c r="H90" i="13" s="1" a="1"/>
  <c r="H90" i="13" s="1"/>
  <c r="D76" i="13"/>
  <c r="D80" i="13" s="1" a="1"/>
  <c r="D80" i="13" s="1"/>
  <c r="B86" i="13"/>
  <c r="B90" i="13" s="1" a="1"/>
  <c r="B90" i="13" s="1"/>
  <c r="E96" i="13"/>
  <c r="E100" i="13" s="1" a="1"/>
  <c r="E100" i="13" s="1"/>
  <c r="G91" i="13"/>
  <c r="G95" i="13" s="1" a="1"/>
  <c r="G95" i="13" s="1"/>
  <c r="C81" i="13"/>
  <c r="C85" i="13" s="1" a="1"/>
  <c r="C85" i="13" s="1"/>
  <c r="E76" i="13"/>
  <c r="E80" i="13" s="1" a="1"/>
  <c r="E80" i="13" s="1"/>
  <c r="B81" i="13"/>
  <c r="B85" i="13" s="1" a="1"/>
  <c r="B85" i="13" s="1"/>
  <c r="F96" i="13"/>
  <c r="F100" i="13" s="1" a="1"/>
  <c r="F100" i="13" s="1"/>
  <c r="H91" i="13"/>
  <c r="H95" i="13" s="1" a="1"/>
  <c r="H95" i="13" s="1"/>
  <c r="D81" i="13"/>
  <c r="D85" i="13" s="1" a="1"/>
  <c r="D85" i="13" s="1"/>
  <c r="F76" i="13"/>
  <c r="F80" i="13" s="1" a="1"/>
  <c r="F80" i="13" s="1"/>
  <c r="G96" i="13"/>
  <c r="G100" i="13" s="1" a="1"/>
  <c r="G100" i="13" s="1"/>
  <c r="C86" i="13"/>
  <c r="C90" i="13" s="1" a="1"/>
  <c r="C90" i="13" s="1"/>
  <c r="E81" i="13"/>
  <c r="E85" i="13" s="1" a="1"/>
  <c r="E85" i="13" s="1"/>
  <c r="G76" i="13"/>
  <c r="G80" i="13" s="1" a="1"/>
  <c r="G80" i="13" s="1"/>
  <c r="H96" i="13"/>
  <c r="H100" i="13" s="1" a="1"/>
  <c r="H100" i="13" s="1"/>
  <c r="D86" i="13"/>
  <c r="D90" i="13" s="1" a="1"/>
  <c r="D90" i="13" s="1"/>
  <c r="F81" i="13"/>
  <c r="F85" i="13" s="1" a="1"/>
  <c r="F85" i="13" s="1"/>
  <c r="H76" i="13"/>
  <c r="H80" i="13" s="1" a="1"/>
  <c r="H80" i="13" s="1"/>
  <c r="B10" i="3"/>
  <c r="B44" i="13" s="1"/>
  <c r="B48" i="13" s="1" a="1"/>
  <c r="B48" i="13" s="1"/>
  <c r="D69" i="13"/>
  <c r="C59" i="13"/>
  <c r="C63" i="13" s="1" a="1"/>
  <c r="C63" i="13" s="1"/>
  <c r="E54" i="13"/>
  <c r="E58" i="13" s="1" a="1"/>
  <c r="E58" i="13" s="1"/>
  <c r="G44" i="13"/>
  <c r="G48" i="13" s="1" a="1"/>
  <c r="G48" i="13" s="1"/>
  <c r="E69" i="13"/>
  <c r="D59" i="13"/>
  <c r="D63" i="13" s="1" a="1"/>
  <c r="D63" i="13" s="1"/>
  <c r="F54" i="13"/>
  <c r="F58" i="13" s="1" a="1"/>
  <c r="F58" i="13" s="1"/>
  <c r="H44" i="13"/>
  <c r="H48" i="13" s="1" a="1"/>
  <c r="H48" i="13" s="1"/>
  <c r="B69" i="13"/>
  <c r="C64" i="13"/>
  <c r="C68" i="13" s="1" a="1"/>
  <c r="C68" i="13" s="1"/>
  <c r="E59" i="13"/>
  <c r="E63" i="13" s="1" a="1"/>
  <c r="E63" i="13" s="1"/>
  <c r="G54" i="13"/>
  <c r="G58" i="13" s="1" a="1"/>
  <c r="G58" i="13" s="1"/>
  <c r="C49" i="13"/>
  <c r="C53" i="13" s="1" a="1"/>
  <c r="C53" i="13" s="1"/>
  <c r="B64" i="13"/>
  <c r="B68" i="13" s="1" a="1"/>
  <c r="B68" i="13" s="1"/>
  <c r="D64" i="13"/>
  <c r="D68" i="13" s="1" a="1"/>
  <c r="D68" i="13" s="1"/>
  <c r="F59" i="13"/>
  <c r="F63" i="13" s="1" a="1"/>
  <c r="F63" i="13" s="1"/>
  <c r="H54" i="13"/>
  <c r="H58" i="13" s="1" a="1"/>
  <c r="H58" i="13" s="1"/>
  <c r="D49" i="13"/>
  <c r="D53" i="13" s="1" a="1"/>
  <c r="D53" i="13" s="1"/>
  <c r="B59" i="13"/>
  <c r="B63" i="13" s="1" a="1"/>
  <c r="B63" i="13" s="1"/>
  <c r="E64" i="13"/>
  <c r="E68" i="13" s="1" a="1"/>
  <c r="E68" i="13" s="1"/>
  <c r="G59" i="13"/>
  <c r="G63" i="13" s="1" a="1"/>
  <c r="G63" i="13" s="1"/>
  <c r="C44" i="13"/>
  <c r="C48" i="13" s="1" a="1"/>
  <c r="C48" i="13" s="1"/>
  <c r="E49" i="13"/>
  <c r="E53" i="13" s="1" a="1"/>
  <c r="E53" i="13" s="1"/>
  <c r="B54" i="13"/>
  <c r="B58" i="13" s="1" a="1"/>
  <c r="B58" i="13" s="1"/>
  <c r="F64" i="13"/>
  <c r="F68" i="13" s="1" a="1"/>
  <c r="F68" i="13" s="1"/>
  <c r="H59" i="13"/>
  <c r="H63" i="13" s="1" a="1"/>
  <c r="H63" i="13" s="1"/>
  <c r="D44" i="13"/>
  <c r="D48" i="13" s="1" a="1"/>
  <c r="D48" i="13" s="1"/>
  <c r="F49" i="13"/>
  <c r="F53" i="13" s="1" a="1"/>
  <c r="F53" i="13" s="1"/>
  <c r="B49" i="13"/>
  <c r="B53" i="13" s="1" a="1"/>
  <c r="B53" i="13" s="1"/>
  <c r="G64" i="13"/>
  <c r="G68" i="13" s="1" a="1"/>
  <c r="G68" i="13" s="1"/>
  <c r="C54" i="13"/>
  <c r="C58" i="13" s="1" a="1"/>
  <c r="C58" i="13" s="1"/>
  <c r="E44" i="13"/>
  <c r="E48" i="13" s="1" a="1"/>
  <c r="E48" i="13" s="1"/>
  <c r="G49" i="13"/>
  <c r="G53" i="13" s="1" a="1"/>
  <c r="G53" i="13" s="1"/>
  <c r="C69" i="13"/>
  <c r="H64" i="13"/>
  <c r="H68" i="13" s="1" a="1"/>
  <c r="H68" i="13" s="1"/>
  <c r="D54" i="13"/>
  <c r="D58" i="13" s="1" a="1"/>
  <c r="D58" i="13" s="1"/>
  <c r="F44" i="13"/>
  <c r="F48" i="13" s="1" a="1"/>
  <c r="F48" i="13" s="1"/>
  <c r="H49" i="13"/>
  <c r="H53" i="13" s="1" a="1"/>
  <c r="H53" i="13" s="1"/>
  <c r="B42" i="13" l="1" a="1"/>
  <c r="B42" i="13" s="1"/>
  <c r="B74" i="13" a="1"/>
  <c r="B74" i="13" s="1"/>
  <c r="D70" i="13"/>
  <c r="D72" i="13"/>
  <c r="D71" i="13"/>
  <c r="L7" i="2"/>
  <c r="K8" i="2" s="1"/>
  <c r="C8" i="4" l="1"/>
  <c r="L3" i="2" l="1"/>
  <c r="T13" i="15" s="1"/>
  <c r="AA8" i="15" s="1"/>
  <c r="Q23" i="15" l="1"/>
  <c r="AA12" i="15" s="1"/>
  <c r="B9" i="4"/>
  <c r="L8" i="2" l="1"/>
  <c r="K9" i="2" s="1"/>
  <c r="C9" i="4" l="1"/>
  <c r="B10" i="4"/>
  <c r="L9" i="2" l="1"/>
  <c r="K10" i="2" s="1"/>
  <c r="C10" i="4" l="1"/>
  <c r="B11" i="4"/>
  <c r="L10" i="2" l="1"/>
  <c r="K11" i="2" s="1"/>
  <c r="C11" i="4" l="1"/>
  <c r="B12" i="4"/>
  <c r="L11" i="2" l="1"/>
  <c r="K12" i="2" s="1"/>
  <c r="C12" i="4" l="1"/>
  <c r="B13" i="4"/>
  <c r="L12" i="2" l="1"/>
  <c r="K13" i="2" s="1"/>
  <c r="C13" i="4" l="1"/>
  <c r="B14" i="4"/>
  <c r="L13" i="2" l="1"/>
  <c r="K14" i="2" s="1"/>
  <c r="C14" i="4" l="1"/>
  <c r="B15" i="4"/>
  <c r="L14" i="2" l="1"/>
  <c r="K15" i="2" s="1"/>
  <c r="C15" i="4" l="1"/>
  <c r="B16" i="4"/>
  <c r="L15" i="2" l="1"/>
  <c r="K16" i="2" s="1"/>
  <c r="C16" i="4" l="1"/>
  <c r="B17" i="4"/>
  <c r="L16" i="2" l="1"/>
  <c r="K17" i="2" s="1"/>
  <c r="C17" i="4" l="1"/>
  <c r="B18" i="4"/>
  <c r="L17" i="2" l="1"/>
  <c r="K18" i="2" s="1"/>
  <c r="C18" i="4" l="1"/>
  <c r="B19" i="4"/>
  <c r="L18" i="2" l="1"/>
  <c r="C19" i="4" s="1"/>
  <c r="B20" i="4" l="1"/>
  <c r="L19" i="2" l="1"/>
  <c r="C20" i="4" l="1"/>
  <c r="B21" i="4"/>
  <c r="L20" i="2" l="1"/>
  <c r="C21" i="4" s="1"/>
  <c r="B22" i="4" l="1"/>
  <c r="L21" i="2" l="1"/>
  <c r="C22" i="4" s="1"/>
  <c r="B23" i="4" l="1"/>
  <c r="L22" i="2" l="1"/>
  <c r="C23" i="4" s="1"/>
  <c r="B24" i="4" l="1"/>
  <c r="L23" i="2" l="1"/>
  <c r="C24" i="4" s="1"/>
  <c r="B25" i="4" l="1"/>
  <c r="L24" i="2" l="1"/>
  <c r="C25" i="4" s="1"/>
  <c r="B26" i="4" l="1"/>
  <c r="L25" i="2" l="1"/>
  <c r="C26" i="4" s="1"/>
  <c r="B27" i="4" l="1"/>
  <c r="L26" i="2" l="1"/>
  <c r="C27" i="4" s="1"/>
  <c r="B28" i="4" l="1"/>
  <c r="L27" i="2" l="1"/>
  <c r="C28" i="4" s="1"/>
  <c r="B29" i="4" l="1"/>
  <c r="L28" i="2" l="1"/>
  <c r="C29" i="4" s="1"/>
  <c r="B30" i="4" l="1"/>
  <c r="L29" i="2" l="1"/>
  <c r="C30" i="4" s="1"/>
  <c r="B31" i="4" l="1"/>
  <c r="L30" i="2" l="1"/>
  <c r="C31" i="4" s="1"/>
  <c r="D44" i="12" l="1"/>
  <c r="D45" i="12"/>
  <c r="D10" i="12"/>
  <c r="H14" i="13" s="1"/>
  <c r="D14" i="12"/>
  <c r="E19" i="13" s="1"/>
  <c r="D61" i="12"/>
  <c r="B78" i="13" s="1"/>
  <c r="D9" i="12"/>
  <c r="D12" i="12"/>
  <c r="D55" i="12"/>
  <c r="D47" i="12"/>
  <c r="D59" i="12"/>
  <c r="D28" i="12"/>
  <c r="D40" i="12"/>
  <c r="D29" i="12"/>
  <c r="D52" i="12"/>
  <c r="D23" i="12"/>
  <c r="D25" i="12"/>
  <c r="D34" i="12"/>
  <c r="D17" i="12"/>
  <c r="D41" i="12"/>
  <c r="D46" i="12"/>
  <c r="D27" i="12"/>
  <c r="D56" i="12"/>
  <c r="D49" i="12"/>
  <c r="D35" i="12"/>
  <c r="D39" i="12"/>
  <c r="D32" i="12"/>
  <c r="D53" i="12"/>
  <c r="D50" i="12"/>
  <c r="D20" i="12"/>
  <c r="B46" i="13" s="1"/>
  <c r="D26" i="12"/>
  <c r="D42" i="12"/>
  <c r="D38" i="12"/>
  <c r="D51" i="12"/>
  <c r="D54" i="12"/>
  <c r="D21" i="12"/>
  <c r="C46" i="13" s="1"/>
  <c r="D22" i="12"/>
  <c r="D46" i="13" s="1"/>
  <c r="D43" i="12"/>
  <c r="H66" i="13" s="1"/>
  <c r="D24" i="12"/>
  <c r="D58" i="12"/>
  <c r="D48" i="12"/>
  <c r="D13" i="12"/>
  <c r="D60" i="12"/>
  <c r="D36" i="12"/>
  <c r="D31" i="12"/>
  <c r="D33" i="12"/>
  <c r="D16" i="12"/>
  <c r="D15" i="12"/>
  <c r="D18" i="12"/>
  <c r="D37" i="12"/>
  <c r="D57" i="12"/>
  <c r="D30" i="12"/>
  <c r="D11" i="12"/>
  <c r="D19" i="12"/>
  <c r="D62" i="12"/>
  <c r="C78" i="13" s="1"/>
  <c r="D67" i="12"/>
  <c r="D99" i="12"/>
  <c r="D69" i="12"/>
  <c r="D85" i="12"/>
  <c r="D100" i="12"/>
  <c r="D83" i="12"/>
  <c r="D84" i="12"/>
  <c r="D68" i="12"/>
  <c r="D101" i="12"/>
  <c r="D66" i="12"/>
  <c r="D76" i="12"/>
  <c r="D64" i="12"/>
  <c r="D80" i="12"/>
  <c r="D106" i="12"/>
  <c r="D94" i="12"/>
  <c r="D105" i="12"/>
  <c r="D92" i="12"/>
  <c r="D72" i="12"/>
  <c r="D97" i="12"/>
  <c r="D89" i="12"/>
  <c r="D98" i="12"/>
  <c r="D103" i="12"/>
  <c r="D96" i="12"/>
  <c r="D95" i="12"/>
  <c r="D73" i="12"/>
  <c r="D71" i="12"/>
  <c r="D88" i="12"/>
  <c r="D63" i="12"/>
  <c r="D108" i="12"/>
  <c r="D70" i="12"/>
  <c r="D104" i="12"/>
  <c r="D75" i="12"/>
  <c r="D65" i="12"/>
  <c r="D82" i="12"/>
  <c r="D91" i="12"/>
  <c r="D79" i="12"/>
  <c r="D78" i="12"/>
  <c r="D77" i="12"/>
  <c r="D74" i="12"/>
  <c r="D87" i="12"/>
  <c r="D107" i="12"/>
  <c r="D90" i="12"/>
  <c r="D102" i="12"/>
  <c r="D81" i="12"/>
  <c r="D86" i="12"/>
  <c r="D93" i="12"/>
  <c r="D29" i="13"/>
  <c r="C90" i="12"/>
  <c r="C77" i="12"/>
  <c r="C55" i="12"/>
  <c r="C40" i="12"/>
  <c r="C99" i="12"/>
  <c r="C73" i="12"/>
  <c r="C97" i="12"/>
  <c r="C64" i="12"/>
  <c r="C71" i="12"/>
  <c r="C86" i="12"/>
  <c r="C9" i="12"/>
  <c r="G13" i="13" s="1"/>
  <c r="C60" i="12"/>
  <c r="C84" i="12"/>
  <c r="C19" i="12"/>
  <c r="H33" i="13" s="1"/>
  <c r="C54" i="12"/>
  <c r="C81" i="12"/>
  <c r="C10" i="12"/>
  <c r="H13" i="13" s="1"/>
  <c r="C76" i="12"/>
  <c r="C49" i="12"/>
  <c r="C91" i="12"/>
  <c r="C72" i="12"/>
  <c r="C12" i="12"/>
  <c r="C18" i="13" s="1"/>
  <c r="C35" i="12"/>
  <c r="C66" i="12"/>
  <c r="C80" i="12"/>
  <c r="C15" i="12"/>
  <c r="F18" i="13" s="1"/>
  <c r="C38" i="12"/>
  <c r="C105" i="12"/>
  <c r="C63" i="12"/>
  <c r="C26" i="12"/>
  <c r="C51" i="12"/>
  <c r="C39" i="12"/>
  <c r="C45" i="12"/>
  <c r="C85" i="12"/>
  <c r="C18" i="12"/>
  <c r="C30" i="12"/>
  <c r="C44" i="12"/>
  <c r="B70" i="13" s="1"/>
  <c r="C59" i="12"/>
  <c r="C78" i="12"/>
  <c r="C67" i="12"/>
  <c r="C104" i="12"/>
  <c r="C33" i="12"/>
  <c r="C53" i="12"/>
  <c r="C57" i="12"/>
  <c r="C83" i="12"/>
  <c r="C108" i="12"/>
  <c r="C58" i="12"/>
  <c r="C94" i="12"/>
  <c r="C103" i="12"/>
  <c r="C107" i="12"/>
  <c r="C21" i="12"/>
  <c r="C45" i="13" s="1"/>
  <c r="C37" i="12"/>
  <c r="C31" i="12"/>
  <c r="C98" i="12"/>
  <c r="C36" i="12"/>
  <c r="E36" i="12" s="1"/>
  <c r="C50" i="12"/>
  <c r="C87" i="12"/>
  <c r="C68" i="12"/>
  <c r="C48" i="12"/>
  <c r="C56" i="12"/>
  <c r="C20" i="12"/>
  <c r="B45" i="13" s="1"/>
  <c r="C22" i="12"/>
  <c r="D45" i="13" s="1"/>
  <c r="C23" i="12"/>
  <c r="C93" i="12"/>
  <c r="C28" i="12"/>
  <c r="C16" i="12"/>
  <c r="C88" i="12"/>
  <c r="C13" i="12"/>
  <c r="D18" i="13" s="1"/>
  <c r="C92" i="12"/>
  <c r="C79" i="12"/>
  <c r="C95" i="12"/>
  <c r="C29" i="12"/>
  <c r="C34" i="12"/>
  <c r="C62" i="12"/>
  <c r="C27" i="12"/>
  <c r="C47" i="12"/>
  <c r="C52" i="12"/>
  <c r="C14" i="12"/>
  <c r="E18" i="13" s="1"/>
  <c r="C11" i="12"/>
  <c r="B18" i="13" s="1"/>
  <c r="C24" i="12"/>
  <c r="C41" i="12"/>
  <c r="C75" i="12"/>
  <c r="C32" i="12"/>
  <c r="C61" i="12"/>
  <c r="C102" i="12"/>
  <c r="C46" i="12"/>
  <c r="C43" i="12"/>
  <c r="C25" i="12"/>
  <c r="C42" i="12"/>
  <c r="C65" i="12"/>
  <c r="C82" i="12"/>
  <c r="C101" i="12"/>
  <c r="C69" i="12"/>
  <c r="C74" i="12"/>
  <c r="E74" i="12" s="1"/>
  <c r="C96" i="12"/>
  <c r="E96" i="12" s="1"/>
  <c r="C89" i="12"/>
  <c r="C70" i="12"/>
  <c r="C17" i="12"/>
  <c r="C100" i="12"/>
  <c r="C106" i="12"/>
  <c r="E106" i="12" s="1"/>
  <c r="E17" i="12" l="1"/>
  <c r="E16" i="12"/>
  <c r="B66" i="13"/>
  <c r="G66" i="13"/>
  <c r="E25" i="12"/>
  <c r="B61" i="13"/>
  <c r="B98" i="13"/>
  <c r="H98" i="13"/>
  <c r="E66" i="13"/>
  <c r="F56" i="13"/>
  <c r="C61" i="13"/>
  <c r="C29" i="13"/>
  <c r="H34" i="13"/>
  <c r="G46" i="13"/>
  <c r="H61" i="13"/>
  <c r="D78" i="13"/>
  <c r="E29" i="13"/>
  <c r="F66" i="13"/>
  <c r="H19" i="13"/>
  <c r="F46" i="13"/>
  <c r="F29" i="13"/>
  <c r="C51" i="13"/>
  <c r="H93" i="13"/>
  <c r="C93" i="13"/>
  <c r="D51" i="13"/>
  <c r="F78" i="13"/>
  <c r="C66" i="13"/>
  <c r="G61" i="13"/>
  <c r="D56" i="13"/>
  <c r="F83" i="13"/>
  <c r="F19" i="13"/>
  <c r="G29" i="13"/>
  <c r="C19" i="13"/>
  <c r="G19" i="13"/>
  <c r="G14" i="13"/>
  <c r="B19" i="13"/>
  <c r="G98" i="13"/>
  <c r="E83" i="13"/>
  <c r="F34" i="13"/>
  <c r="D19" i="13"/>
  <c r="E78" i="13"/>
  <c r="B103" i="13"/>
  <c r="H88" i="13"/>
  <c r="D83" i="13"/>
  <c r="C56" i="13"/>
  <c r="C34" i="13"/>
  <c r="D34" i="13"/>
  <c r="E46" i="13"/>
  <c r="F98" i="13"/>
  <c r="H78" i="13"/>
  <c r="F61" i="13"/>
  <c r="B51" i="13"/>
  <c r="E61" i="13"/>
  <c r="E56" i="13"/>
  <c r="C88" i="13"/>
  <c r="E24" i="12"/>
  <c r="G33" i="13"/>
  <c r="E34" i="13"/>
  <c r="E93" i="13"/>
  <c r="G51" i="13"/>
  <c r="B83" i="13"/>
  <c r="D98" i="13"/>
  <c r="F51" i="13"/>
  <c r="E98" i="13"/>
  <c r="C83" i="13"/>
  <c r="G56" i="13"/>
  <c r="H56" i="13"/>
  <c r="G93" i="13"/>
  <c r="G34" i="13"/>
  <c r="C71" i="13"/>
  <c r="B71" i="13"/>
  <c r="H51" i="13"/>
  <c r="B93" i="13"/>
  <c r="C98" i="13"/>
  <c r="D93" i="13"/>
  <c r="H46" i="13"/>
  <c r="B88" i="13"/>
  <c r="G78" i="13"/>
  <c r="B56" i="13"/>
  <c r="F88" i="13"/>
  <c r="G83" i="13"/>
  <c r="B34" i="13"/>
  <c r="B29" i="13"/>
  <c r="E88" i="13"/>
  <c r="D61" i="13"/>
  <c r="E51" i="13"/>
  <c r="G88" i="13"/>
  <c r="H83" i="13"/>
  <c r="D88" i="13"/>
  <c r="D66" i="13"/>
  <c r="H29" i="13"/>
  <c r="F93" i="13"/>
  <c r="E70" i="12"/>
  <c r="E64" i="12"/>
  <c r="E93" i="12"/>
  <c r="E23" i="12"/>
  <c r="E100" i="12"/>
  <c r="E41" i="12"/>
  <c r="E32" i="12"/>
  <c r="E85" i="12"/>
  <c r="E28" i="12"/>
  <c r="E89" i="12"/>
  <c r="E50" i="12"/>
  <c r="E54" i="12"/>
  <c r="E42" i="12"/>
  <c r="E10" i="12"/>
  <c r="G20" i="13" s="1"/>
  <c r="E39" i="12"/>
  <c r="E92" i="12"/>
  <c r="E67" i="12"/>
  <c r="E101" i="12"/>
  <c r="E20" i="12"/>
  <c r="B47" i="13" s="1"/>
  <c r="E47" i="12"/>
  <c r="E27" i="12"/>
  <c r="E65" i="12"/>
  <c r="E75" i="12"/>
  <c r="E68" i="12"/>
  <c r="E107" i="12"/>
  <c r="E33" i="12"/>
  <c r="E15" i="12"/>
  <c r="E103" i="12"/>
  <c r="E80" i="12"/>
  <c r="E81" i="12"/>
  <c r="E11" i="12"/>
  <c r="E87" i="12"/>
  <c r="E13" i="12"/>
  <c r="D20" i="13" s="1"/>
  <c r="F33" i="13"/>
  <c r="E45" i="12"/>
  <c r="C70" i="13"/>
  <c r="E43" i="12"/>
  <c r="E46" i="12"/>
  <c r="E14" i="12"/>
  <c r="E20" i="13" s="1"/>
  <c r="E79" i="12"/>
  <c r="E22" i="12"/>
  <c r="D47" i="13" s="1"/>
  <c r="E98" i="12"/>
  <c r="E108" i="12"/>
  <c r="C77" i="13"/>
  <c r="E59" i="12"/>
  <c r="E33" i="13"/>
  <c r="E26" i="12"/>
  <c r="E12" i="12"/>
  <c r="C20" i="13" s="1"/>
  <c r="E19" i="12"/>
  <c r="H35" i="13" s="1"/>
  <c r="E73" i="12"/>
  <c r="F77" i="13"/>
  <c r="E62" i="12"/>
  <c r="C79" i="13" s="1"/>
  <c r="E94" i="12"/>
  <c r="E66" i="12"/>
  <c r="E78" i="12"/>
  <c r="E97" i="12"/>
  <c r="E69" i="12"/>
  <c r="E102" i="12"/>
  <c r="E52" i="12"/>
  <c r="E31" i="12"/>
  <c r="E83" i="12"/>
  <c r="E44" i="12"/>
  <c r="E63" i="12"/>
  <c r="E72" i="12"/>
  <c r="E84" i="12"/>
  <c r="E99" i="12"/>
  <c r="E29" i="12"/>
  <c r="E95" i="12"/>
  <c r="E51" i="12"/>
  <c r="E77" i="13"/>
  <c r="E61" i="12"/>
  <c r="B79" i="13" s="1"/>
  <c r="G65" i="13"/>
  <c r="E56" i="12"/>
  <c r="E37" i="12"/>
  <c r="H65" i="13"/>
  <c r="E57" i="12"/>
  <c r="E30" i="12"/>
  <c r="E105" i="12"/>
  <c r="E91" i="12"/>
  <c r="D77" i="13"/>
  <c r="E60" i="12"/>
  <c r="E40" i="12"/>
  <c r="B77" i="13"/>
  <c r="E58" i="12"/>
  <c r="E35" i="12"/>
  <c r="E82" i="12"/>
  <c r="E88" i="12"/>
  <c r="E48" i="12"/>
  <c r="E21" i="12"/>
  <c r="D65" i="13"/>
  <c r="E53" i="12"/>
  <c r="E18" i="12"/>
  <c r="B30" i="13" s="1"/>
  <c r="E38" i="12"/>
  <c r="E49" i="12"/>
  <c r="E55" i="12"/>
  <c r="E76" i="12"/>
  <c r="E86" i="12"/>
  <c r="E77" i="12"/>
  <c r="E34" i="12"/>
  <c r="E104" i="12"/>
  <c r="E71" i="12"/>
  <c r="E90" i="12"/>
  <c r="C33" i="13"/>
  <c r="D60" i="13"/>
  <c r="F87" i="13"/>
  <c r="E60" i="13"/>
  <c r="D33" i="13"/>
  <c r="H50" i="13"/>
  <c r="H60" i="13"/>
  <c r="H77" i="13"/>
  <c r="H45" i="13"/>
  <c r="E92" i="13"/>
  <c r="D50" i="13"/>
  <c r="C82" i="13"/>
  <c r="D55" i="13"/>
  <c r="H55" i="13"/>
  <c r="D82" i="13"/>
  <c r="D87" i="13"/>
  <c r="D92" i="13"/>
  <c r="C50" i="13"/>
  <c r="C87" i="13"/>
  <c r="B92" i="13"/>
  <c r="C55" i="13"/>
  <c r="B82" i="13"/>
  <c r="H87" i="13"/>
  <c r="B65" i="13"/>
  <c r="G50" i="13"/>
  <c r="E65" i="13"/>
  <c r="E28" i="13"/>
  <c r="B28" i="13"/>
  <c r="G82" i="13"/>
  <c r="B33" i="13"/>
  <c r="C65" i="13"/>
  <c r="B60" i="13"/>
  <c r="G77" i="13"/>
  <c r="B87" i="13"/>
  <c r="G92" i="13"/>
  <c r="E97" i="13"/>
  <c r="F28" i="13"/>
  <c r="B55" i="13"/>
  <c r="B50" i="13"/>
  <c r="E55" i="13"/>
  <c r="H28" i="13"/>
  <c r="F92" i="13"/>
  <c r="F45" i="13"/>
  <c r="D97" i="13"/>
  <c r="B102" i="13"/>
  <c r="F60" i="13"/>
  <c r="G28" i="13"/>
  <c r="D28" i="13"/>
  <c r="G60" i="13"/>
  <c r="G18" i="13"/>
  <c r="F65" i="13"/>
  <c r="C28" i="13"/>
  <c r="E87" i="13"/>
  <c r="E82" i="13"/>
  <c r="E50" i="13"/>
  <c r="H92" i="13"/>
  <c r="F97" i="13"/>
  <c r="B97" i="13"/>
  <c r="G97" i="13"/>
  <c r="G87" i="13"/>
  <c r="F82" i="13"/>
  <c r="G55" i="13"/>
  <c r="F55" i="13"/>
  <c r="F50" i="13"/>
  <c r="G45" i="13"/>
  <c r="E45" i="13"/>
  <c r="C97" i="13"/>
  <c r="H97" i="13"/>
  <c r="C60" i="13"/>
  <c r="C92" i="13"/>
  <c r="H18" i="13"/>
  <c r="H82" i="13"/>
  <c r="H99" i="13" l="1"/>
  <c r="G99" i="13"/>
  <c r="C57" i="13"/>
  <c r="F47" i="13"/>
  <c r="E30" i="13"/>
  <c r="C47" i="13"/>
  <c r="D94" i="13"/>
  <c r="G47" i="13"/>
  <c r="H62" i="13"/>
  <c r="F20" i="13"/>
  <c r="D30" i="13"/>
  <c r="H89" i="13"/>
  <c r="F99" i="13"/>
  <c r="B20" i="13"/>
  <c r="B52" i="13"/>
  <c r="B94" i="13"/>
  <c r="H20" i="13"/>
  <c r="H15" i="13"/>
  <c r="E79" i="13"/>
  <c r="G30" i="13"/>
  <c r="H30" i="13"/>
  <c r="C30" i="13"/>
  <c r="F30" i="13"/>
  <c r="E47" i="13"/>
  <c r="G94" i="13"/>
  <c r="B104" i="13"/>
  <c r="D35" i="13"/>
  <c r="B35" i="13"/>
  <c r="C52" i="13"/>
  <c r="E89" i="13"/>
  <c r="D99" i="13"/>
  <c r="H79" i="13"/>
  <c r="F67" i="13"/>
  <c r="H47" i="13"/>
  <c r="B57" i="13"/>
  <c r="D57" i="13"/>
  <c r="C94" i="13"/>
  <c r="E99" i="13"/>
  <c r="D67" i="13"/>
  <c r="F89" i="13"/>
  <c r="E67" i="13"/>
  <c r="E84" i="13"/>
  <c r="C35" i="13"/>
  <c r="F57" i="13"/>
  <c r="G89" i="13"/>
  <c r="E62" i="13"/>
  <c r="C99" i="13"/>
  <c r="F52" i="13"/>
  <c r="B67" i="13"/>
  <c r="E57" i="13"/>
  <c r="H52" i="13"/>
  <c r="E52" i="13"/>
  <c r="C62" i="13"/>
  <c r="G79" i="13"/>
  <c r="D84" i="13"/>
  <c r="E94" i="13"/>
  <c r="D52" i="13"/>
  <c r="G52" i="13"/>
  <c r="F84" i="13"/>
  <c r="H57" i="13"/>
  <c r="C72" i="13"/>
  <c r="G84" i="13"/>
  <c r="B99" i="13"/>
  <c r="G62" i="13"/>
  <c r="D62" i="13"/>
  <c r="F79" i="13"/>
  <c r="E35" i="13"/>
  <c r="C67" i="13"/>
  <c r="B89" i="13"/>
  <c r="B84" i="13"/>
  <c r="D89" i="13"/>
  <c r="C84" i="13"/>
  <c r="F94" i="13"/>
  <c r="G35" i="13"/>
  <c r="F35" i="13"/>
  <c r="C89" i="13"/>
  <c r="G57" i="13"/>
  <c r="B72" i="13"/>
  <c r="H84" i="13"/>
  <c r="B62" i="13"/>
  <c r="D79" i="13"/>
  <c r="F62" i="13"/>
  <c r="H94"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Hayley Boll</author>
  </authors>
  <commentList>
    <comment ref="E3" authorId="0" shapeId="0" xr:uid="{5B354391-C343-490F-9FE4-0BB6BCB82973}">
      <text>
        <r>
          <rPr>
            <b/>
            <sz val="9"/>
            <color indexed="81"/>
            <rFont val="Tahoma"/>
            <family val="2"/>
          </rPr>
          <t>Hayley:</t>
        </r>
        <r>
          <rPr>
            <sz val="9"/>
            <color indexed="81"/>
            <rFont val="Tahoma"/>
            <family val="2"/>
          </rPr>
          <t xml:space="preserve">
This date will be used in MANY formulas and will calculate basically everything. So please double check that this is the correct start date that you would like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Hayley Boll</author>
  </authors>
  <commentList>
    <comment ref="H6" authorId="0" shapeId="0" xr:uid="{1AEB06D7-85BC-467B-892D-5556D5874E41}">
      <text>
        <r>
          <rPr>
            <b/>
            <sz val="9"/>
            <color indexed="81"/>
            <rFont val="Tahoma"/>
            <family val="2"/>
          </rPr>
          <t>Hayley:</t>
        </r>
        <r>
          <rPr>
            <sz val="9"/>
            <color indexed="81"/>
            <rFont val="Tahoma"/>
            <family val="2"/>
          </rPr>
          <t xml:space="preserve">
# of nights x $ per night</t>
        </r>
      </text>
    </comment>
    <comment ref="I6" authorId="0" shapeId="0" xr:uid="{E6EFAE36-DCB4-4091-968C-3E186AFBBB08}">
      <text>
        <r>
          <rPr>
            <b/>
            <sz val="9"/>
            <color indexed="81"/>
            <rFont val="Tahoma"/>
            <family val="2"/>
          </rPr>
          <t>Hayley:</t>
        </r>
        <r>
          <rPr>
            <sz val="9"/>
            <color indexed="81"/>
            <rFont val="Tahoma"/>
            <family val="2"/>
          </rPr>
          <t xml:space="preserve">
Includes all the fees &amp; extra things they make you pay to book.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Hayley Boll</author>
  </authors>
  <commentList>
    <comment ref="B11" authorId="0" shapeId="0" xr:uid="{94BB637A-B4DC-4666-9CA5-23EDACED88BA}">
      <text>
        <r>
          <rPr>
            <b/>
            <sz val="9"/>
            <color indexed="81"/>
            <rFont val="Tahoma"/>
            <family val="2"/>
          </rPr>
          <t>Hayley:</t>
        </r>
        <r>
          <rPr>
            <sz val="9"/>
            <color indexed="81"/>
            <rFont val="Tahoma"/>
            <family val="2"/>
          </rPr>
          <t xml:space="preserve">
Research where you are going to see what the average meal cost is. Also remember, lots of hostels have kitchens and grocery stores have some tasty premade meals and sandwiches.
</t>
        </r>
      </text>
    </comment>
    <comment ref="M11" authorId="0" shapeId="0" xr:uid="{D493C632-163D-461A-B58D-B5E896AAA9BB}">
      <text>
        <r>
          <rPr>
            <b/>
            <sz val="9"/>
            <color indexed="81"/>
            <rFont val="Tahoma"/>
            <family val="2"/>
          </rPr>
          <t>Hayley:</t>
        </r>
        <r>
          <rPr>
            <sz val="9"/>
            <color indexed="81"/>
            <rFont val="Tahoma"/>
            <family val="2"/>
          </rPr>
          <t xml:space="preserve">
Research where you are going to see what the average meal cost is. Also remember, lots of hostels have kitchens and grocery stores have some tasty premade meals and sandwiches.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<sst xmlns="http://schemas.openxmlformats.org/spreadsheetml/2006/main" count="299" uniqueCount="204">
  <si>
    <t>Solo Trip Planner Directory</t>
  </si>
  <si>
    <t>Transportation</t>
  </si>
  <si>
    <t>Trip Dreaming</t>
  </si>
  <si>
    <t>Trip Start Date</t>
  </si>
  <si>
    <t>Stop on Trip</t>
  </si>
  <si>
    <t>Days in Location</t>
  </si>
  <si>
    <t>Country</t>
  </si>
  <si>
    <t>This is the spot to put down all of those places you want to go… and how long you want to stay there.</t>
  </si>
  <si>
    <t>#</t>
  </si>
  <si>
    <t>Preferred Month</t>
  </si>
  <si>
    <t>Start Date</t>
  </si>
  <si>
    <t>End Date</t>
  </si>
  <si>
    <t>Location</t>
  </si>
  <si>
    <t>City</t>
  </si>
  <si>
    <t>Total # of Days</t>
  </si>
  <si>
    <t>Dream Outline</t>
  </si>
  <si>
    <t>Stop</t>
  </si>
  <si>
    <t>This is where you can find the calendar plan of your trip.</t>
  </si>
  <si>
    <t>Auto Calendar Settings</t>
  </si>
  <si>
    <t>Year Start</t>
  </si>
  <si>
    <t>Month # Start</t>
  </si>
  <si>
    <t>Notes</t>
  </si>
  <si>
    <t>Average Room Cost</t>
  </si>
  <si>
    <t>Monday</t>
  </si>
  <si>
    <t>Sunday</t>
  </si>
  <si>
    <t>Tuesday</t>
  </si>
  <si>
    <t>Wednesday</t>
  </si>
  <si>
    <t>Thursday</t>
  </si>
  <si>
    <t>Friday</t>
  </si>
  <si>
    <t>Saturday</t>
  </si>
  <si>
    <t>Month 1</t>
  </si>
  <si>
    <t>Month 2</t>
  </si>
  <si>
    <t>Month 3</t>
  </si>
  <si>
    <t>Date</t>
  </si>
  <si>
    <t>Start Month 2</t>
  </si>
  <si>
    <t>Start Month 3</t>
  </si>
  <si>
    <t>Notes:</t>
  </si>
  <si>
    <t>Itinerary - Detailed</t>
  </si>
  <si>
    <t>Accomodation</t>
  </si>
  <si>
    <t>Accomodations</t>
  </si>
  <si>
    <t>The hostels, airbnbs, tents?, boats, and other places you will be staying!</t>
  </si>
  <si>
    <t>Check-In Date</t>
  </si>
  <si>
    <t>Check-Out Date</t>
  </si>
  <si>
    <t>Name</t>
  </si>
  <si>
    <t>Booking Site</t>
  </si>
  <si>
    <t>Cash or Card</t>
  </si>
  <si>
    <t># Days</t>
  </si>
  <si>
    <t># of Days</t>
  </si>
  <si>
    <t>$ Per Night</t>
  </si>
  <si>
    <t>Total Booked Cost</t>
  </si>
  <si>
    <t>$ All Nights</t>
  </si>
  <si>
    <t>% Booked</t>
  </si>
  <si>
    <t>Yes</t>
  </si>
  <si>
    <t>Trip Itinerary Calendar</t>
  </si>
  <si>
    <t>TRAVEL DAY</t>
  </si>
  <si>
    <t>Booked?</t>
  </si>
  <si>
    <t>Travel</t>
  </si>
  <si>
    <t>flights, trains, passes, bus tickets, rental cars.</t>
  </si>
  <si>
    <t>hostels, hotel rooms, airbnbs, house boats</t>
  </si>
  <si>
    <t>Total Spending Limit</t>
  </si>
  <si>
    <t>Food</t>
  </si>
  <si>
    <t>Activities</t>
  </si>
  <si>
    <t>Spending Money</t>
  </si>
  <si>
    <t>Safety Money</t>
  </si>
  <si>
    <t>tours, skydiving, entry fees, museums, cooking classes</t>
  </si>
  <si>
    <t>daily food budget</t>
  </si>
  <si>
    <t>extra cash to have on hand to purchase whatever your heart desires</t>
  </si>
  <si>
    <t>backup cash to get a flight home / hospital bills</t>
  </si>
  <si>
    <t>From</t>
  </si>
  <si>
    <t>To</t>
  </si>
  <si>
    <t xml:space="preserve">food budget for the whole trip </t>
  </si>
  <si>
    <t>DFW</t>
  </si>
  <si>
    <t>Via</t>
  </si>
  <si>
    <t>Carrier</t>
  </si>
  <si>
    <t>Flight</t>
  </si>
  <si>
    <t>AA</t>
  </si>
  <si>
    <t>Reservation #</t>
  </si>
  <si>
    <t>Confirmation #</t>
  </si>
  <si>
    <t>Traveling?</t>
  </si>
  <si>
    <t>Today's Budget</t>
  </si>
  <si>
    <t>*Choose the contents you want</t>
  </si>
  <si>
    <r>
      <t xml:space="preserve">  1</t>
    </r>
    <r>
      <rPr>
        <b/>
        <sz val="11"/>
        <rFont val="Calibri"/>
        <family val="2"/>
        <scheme val="minor"/>
      </rPr>
      <t xml:space="preserve">
Location
</t>
    </r>
    <r>
      <rPr>
        <sz val="11"/>
        <rFont val="Calibri"/>
        <family val="2"/>
        <scheme val="minor"/>
      </rPr>
      <t>Accomodation for that night</t>
    </r>
  </si>
  <si>
    <t>Travel Plan</t>
  </si>
  <si>
    <t>Day Plan/Activities</t>
  </si>
  <si>
    <t>Cost $$$</t>
  </si>
  <si>
    <t>Roundtrip/Oneway/Unlimited</t>
  </si>
  <si>
    <t>Oneway</t>
  </si>
  <si>
    <t>You already know how much you plan on spending for these categories</t>
  </si>
  <si>
    <t>Total Transportation Cost</t>
  </si>
  <si>
    <t>this is the sum of the categories below.</t>
  </si>
  <si>
    <t>this is the abslute max you can spend.</t>
  </si>
  <si>
    <t>This is what is left in the budget:</t>
  </si>
  <si>
    <t>Trip Budget - I already have something in mind…</t>
  </si>
  <si>
    <t>No need to put anything over here. It will appear magically.</t>
  </si>
  <si>
    <t>This spreadsheet is a comprehensive list of your trip!</t>
  </si>
  <si>
    <t>What days you are traveling and how! This data doesn’t go anywhere it's just for organization.</t>
  </si>
  <si>
    <t>*double check this PLEASE (MM/DD/YYYY)</t>
  </si>
  <si>
    <t>This data feeds into the itinerary!</t>
  </si>
  <si>
    <t>Packing List &amp; Checklist</t>
  </si>
  <si>
    <t xml:space="preserve">Keep track of everything you plan on bringing </t>
  </si>
  <si>
    <t>Clothes</t>
  </si>
  <si>
    <t>Shoes</t>
  </si>
  <si>
    <t>Technology</t>
  </si>
  <si>
    <t>Qty</t>
  </si>
  <si>
    <t>Item</t>
  </si>
  <si>
    <t>Undies</t>
  </si>
  <si>
    <t>Toiletries &amp; Medications</t>
  </si>
  <si>
    <t>Levi's jeans (black &amp; denim)</t>
  </si>
  <si>
    <t>Black running shorts</t>
  </si>
  <si>
    <t>Navy biker shorts</t>
  </si>
  <si>
    <t>Calvin Klien bralette</t>
  </si>
  <si>
    <t>Panties</t>
  </si>
  <si>
    <t>Sports bra</t>
  </si>
  <si>
    <t>Regular socks</t>
  </si>
  <si>
    <t>Hiking socks</t>
  </si>
  <si>
    <t>Veja sneakers</t>
  </si>
  <si>
    <t>Waterproof birkenstocks</t>
  </si>
  <si>
    <t>Hiking shoes</t>
  </si>
  <si>
    <t>Jean shorts</t>
  </si>
  <si>
    <t>Black polka dot skirt</t>
  </si>
  <si>
    <t>longsleeve running shirt</t>
  </si>
  <si>
    <t>shortsleeve running shirt</t>
  </si>
  <si>
    <t>Blazers (leather &amp; check)</t>
  </si>
  <si>
    <t>Down jacket</t>
  </si>
  <si>
    <t>Portable charger</t>
  </si>
  <si>
    <t>Power outlet adapter (EU &amp; UK)</t>
  </si>
  <si>
    <t>Phone charger</t>
  </si>
  <si>
    <t>Bluetooth camera button</t>
  </si>
  <si>
    <t>55L backpack</t>
  </si>
  <si>
    <t>Packing cubes</t>
  </si>
  <si>
    <t>Miniature gorilla tripod</t>
  </si>
  <si>
    <t>shampoo</t>
  </si>
  <si>
    <t>conditioner</t>
  </si>
  <si>
    <t>leave in conditioner</t>
  </si>
  <si>
    <t>face wash</t>
  </si>
  <si>
    <t>moisturizer</t>
  </si>
  <si>
    <t>sunscreen</t>
  </si>
  <si>
    <t>bar of soap</t>
  </si>
  <si>
    <t>nausea medicine</t>
  </si>
  <si>
    <t>sleep aid</t>
  </si>
  <si>
    <t>advil</t>
  </si>
  <si>
    <t>toothbrush</t>
  </si>
  <si>
    <t>toothpaste</t>
  </si>
  <si>
    <t>microfiber towel</t>
  </si>
  <si>
    <t>laundry detergent</t>
  </si>
  <si>
    <t>Miscellaneous</t>
  </si>
  <si>
    <t xml:space="preserve">toothbrush for dirty shoes </t>
  </si>
  <si>
    <t>dirty clothes bag</t>
  </si>
  <si>
    <t>dirty shoes back</t>
  </si>
  <si>
    <t>graphic tee</t>
  </si>
  <si>
    <t>tank top (navy &amp; black)</t>
  </si>
  <si>
    <t>high neck bramis (black, grey, &amp; pink)</t>
  </si>
  <si>
    <t>going out tops</t>
  </si>
  <si>
    <t>black turtleneck</t>
  </si>
  <si>
    <t>black romper</t>
  </si>
  <si>
    <t>black maxi dress</t>
  </si>
  <si>
    <t>rain jacket</t>
  </si>
  <si>
    <t>tote bag</t>
  </si>
  <si>
    <t>airpods</t>
  </si>
  <si>
    <t>Laptop &amp; charger</t>
  </si>
  <si>
    <t>digital camera &amp; charger</t>
  </si>
  <si>
    <t xml:space="preserve">fanny pack </t>
  </si>
  <si>
    <t>Barcelona</t>
  </si>
  <si>
    <t>Spain</t>
  </si>
  <si>
    <t>Mallorca</t>
  </si>
  <si>
    <t>Ibiza</t>
  </si>
  <si>
    <t>Majorca</t>
  </si>
  <si>
    <t>Vueling</t>
  </si>
  <si>
    <t>Roundtrip</t>
  </si>
  <si>
    <t>El  Josemari</t>
  </si>
  <si>
    <t>TOC Hostel Barcelona</t>
  </si>
  <si>
    <t>Leftover Budget</t>
  </si>
  <si>
    <t xml:space="preserve">Trip Budget </t>
  </si>
  <si>
    <t>Here's a little help coming up with a budget for your trip</t>
  </si>
  <si>
    <t>backup cash to get a flight home / anything crazy</t>
  </si>
  <si>
    <t>Fly early morning to Mallorca</t>
  </si>
  <si>
    <t>Ferry to Ibiza?</t>
  </si>
  <si>
    <t>Flight back to Barca</t>
  </si>
  <si>
    <t>Fly Home!!!</t>
  </si>
  <si>
    <t>Flight in from DFW early morning</t>
  </si>
  <si>
    <t>See all Gaudi Architecture</t>
  </si>
  <si>
    <t>Day trip to Menorca</t>
  </si>
  <si>
    <t>Total Accomodation Cost (Booked)</t>
  </si>
  <si>
    <t>Amistat Ibiza</t>
  </si>
  <si>
    <t>Put together by swelltravels.xlsx</t>
  </si>
  <si>
    <t>Planning Checklist</t>
  </si>
  <si>
    <t>Keep track of everything you have booked and need to book!</t>
  </si>
  <si>
    <t>Due Date</t>
  </si>
  <si>
    <t>Hotel #1</t>
  </si>
  <si>
    <t>Hostel #2</t>
  </si>
  <si>
    <t>House Boat #3</t>
  </si>
  <si>
    <t>Yurt #4</t>
  </si>
  <si>
    <t>Airbnb #5</t>
  </si>
  <si>
    <t>Couch #6</t>
  </si>
  <si>
    <t>Experiences &amp; Miscellaneous</t>
  </si>
  <si>
    <t>Flight #1</t>
  </si>
  <si>
    <t>Train Pass</t>
  </si>
  <si>
    <t>Ferry</t>
  </si>
  <si>
    <t>Rental Car</t>
  </si>
  <si>
    <t>Sound of Music Experience</t>
  </si>
  <si>
    <t>Wine tour</t>
  </si>
  <si>
    <t>Ann Frank Museum</t>
  </si>
  <si>
    <t>Pack Backpack</t>
  </si>
  <si>
    <t>Buy toiletries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</si>
</sst>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F800]dddd\,\ mmmm\ dd\,\ yyyy"/>
    <numFmt numFmtId="165" formatCode="d"/>
  </numFmts>
  <fonts count="28" x14ac:knownFonts="1">
    <font>
      <sz val="11"/>
      <color theme="1"/>
      <name val="Calibri"/>
      <family val="2"/>
      <scheme val="minor"/>
    </font>
    <font>
      <sz val="11"/>
      <color theme="1"/>
      <name val="Calibri"/>
      <family val="2"/>
      <scheme val="minor"/>
    </font>
    <font>
      <b/>
      <sz val="15"/>
      <color theme="3"/>
      <name val="Calibri"/>
      <family val="2"/>
      <scheme val="minor"/>
    </font>
    <font>
      <b/>
      <sz val="11"/>
      <color theme="1"/>
      <name val="Calibri"/>
      <family val="2"/>
      <scheme val="minor"/>
    </font>
    <font>
      <b/>
      <sz val="16"/>
      <color theme="1"/>
      <name val="Calibri"/>
      <family val="2"/>
      <scheme val="minor"/>
    </font>
    <font>
      <b/>
      <sz val="18"/>
      <color theme="1"/>
      <name val="Calibri"/>
      <family val="2"/>
      <scheme val="minor"/>
    </font>
    <font>
      <sz val="8"/>
      <name val="Calibri"/>
      <family val="2"/>
      <scheme val="minor"/>
    </font>
    <font>
      <sz val="11"/>
      <color theme="4" tint="-0.24994659260841701"/>
      <name val="Calibri"/>
      <family val="2"/>
      <scheme val="minor"/>
    </font>
    <font>
      <sz val="11"/>
      <color theme="1" tint="0.34998626667073579"/>
      <name val="Calibri"/>
      <family val="2"/>
      <scheme val="minor"/>
    </font>
    <font>
      <sz val="11"/>
      <name val="Calibri"/>
      <family val="2"/>
      <scheme val="minor"/>
    </font>
    <font>
      <b/>
      <sz val="11"/>
      <color theme="1" tint="0.34998626667073579"/>
      <name val="Calibri"/>
      <family val="2"/>
      <scheme val="minor"/>
    </font>
    <font>
      <sz val="11"/>
      <color theme="1" tint="0.24994659260841701"/>
      <name val="Calibri"/>
      <family val="2"/>
      <scheme val="minor"/>
    </font>
    <font>
      <sz val="35"/>
      <color theme="4"/>
      <name val="Calibri"/>
      <family val="2"/>
      <scheme val="minor"/>
    </font>
    <font>
      <sz val="10"/>
      <name val="Century Gothic"/>
      <family val="2"/>
    </font>
    <font>
      <sz val="12"/>
      <color theme="4" tint="-0.24994659260841701"/>
      <name val="Calibri Light"/>
      <family val="1"/>
      <scheme val="major"/>
    </font>
    <font>
      <sz val="12"/>
      <name val="Calibri"/>
      <family val="2"/>
      <scheme val="minor"/>
    </font>
    <font>
      <b/>
      <sz val="16"/>
      <name val="Calibri"/>
      <family val="2"/>
      <scheme val="minor"/>
    </font>
    <font>
      <sz val="35"/>
      <name val="Calibri"/>
      <family val="2"/>
      <scheme val="minor"/>
    </font>
    <font>
      <b/>
      <sz val="18"/>
      <name val="Calibri"/>
      <family val="2"/>
      <scheme val="minor"/>
    </font>
    <font>
      <b/>
      <sz val="11"/>
      <name val="Calibri"/>
      <family val="2"/>
      <scheme val="minor"/>
    </font>
    <font>
      <b/>
      <sz val="14"/>
      <name val="Calibri"/>
      <family val="2"/>
      <scheme val="minor"/>
    </font>
    <font>
      <b/>
      <sz val="11"/>
      <color theme="4"/>
      <name val="Calibri"/>
      <family val="2"/>
      <scheme val="minor"/>
    </font>
    <font>
      <sz val="9"/>
      <color indexed="81"/>
      <name val="Tahoma"/>
      <family val="2"/>
    </font>
    <font>
      <b/>
      <sz val="9"/>
      <color indexed="81"/>
      <name val="Tahoma"/>
      <family val="2"/>
    </font>
    <font>
      <sz val="11"/>
      <color theme="7" tint="-0.249977111117893"/>
      <name val="Calibri"/>
      <family val="2"/>
      <scheme val="minor"/>
    </font>
    <font>
      <sz val="11"/>
      <color theme="4" tint="-0.249977111117893"/>
      <name val="Calibri"/>
      <family val="2"/>
      <scheme val="minor"/>
    </font>
    <font>
      <sz val="11"/>
      <color theme="7" tint="-0.499984740745262"/>
      <name val="Calibri"/>
      <family val="2"/>
      <scheme val="minor"/>
    </font>
    <font>
      <b/>
      <sz val="14"/>
      <color theme="1"/>
      <name val="Calibri"/>
      <family val="2"/>
      <scheme val="minor"/>
    </font>
  </fonts>
  <fills count="17">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4"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7"/>
        <bgColor indexed="64"/>
      </patternFill>
    </fill>
    <fill>
      <patternFill patternType="solid">
        <fgColor theme="5" tint="0.59999389629810485"/>
        <bgColor indexed="64"/>
      </patternFill>
    </fill>
    <fill>
      <patternFill patternType="solid">
        <fgColor theme="6" tint="-9.9978637043366805E-2"/>
        <bgColor indexed="64"/>
      </patternFill>
    </fill>
    <fill>
      <patternFill patternType="solid">
        <fgColor theme="5" tint="0.39997558519241921"/>
        <bgColor indexed="64"/>
      </patternFill>
    </fill>
    <fill>
      <patternFill patternType="solid">
        <fgColor theme="5"/>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rgb="FFFCFFE1"/>
        <bgColor indexed="64"/>
      </patternFill>
    </fill>
    <fill>
      <patternFill patternType="solid">
        <fgColor theme="6"/>
        <bgColor indexed="64"/>
      </patternFill>
    </fill>
    <fill>
      <patternFill patternType="solid">
        <fgColor theme="4" tint="0.39997558519241921"/>
        <bgColor indexed="64"/>
      </patternFill>
    </fill>
  </fills>
  <borders count="68">
    <border>
      <left/>
      <right/>
      <top/>
      <bottom/>
      <diagonal/>
    </border>
    <border>
      <left/>
      <right/>
      <top/>
      <bottom style="thick">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theme="6" tint="-0.499984740745262"/>
      </left>
      <right style="medium">
        <color theme="6" tint="-0.499984740745262"/>
      </right>
      <top style="medium">
        <color theme="6" tint="-0.499984740745262"/>
      </top>
      <bottom style="medium">
        <color theme="6" tint="-0.499984740745262"/>
      </bottom>
      <diagonal/>
    </border>
    <border>
      <left style="medium">
        <color theme="6" tint="-0.499984740745262"/>
      </left>
      <right/>
      <top style="medium">
        <color theme="6" tint="-0.499984740745262"/>
      </top>
      <bottom/>
      <diagonal/>
    </border>
    <border>
      <left/>
      <right/>
      <top style="medium">
        <color theme="6" tint="-0.499984740745262"/>
      </top>
      <bottom/>
      <diagonal/>
    </border>
    <border>
      <left/>
      <right style="medium">
        <color theme="6" tint="-0.499984740745262"/>
      </right>
      <top style="medium">
        <color theme="6" tint="-0.499984740745262"/>
      </top>
      <bottom/>
      <diagonal/>
    </border>
    <border>
      <left style="medium">
        <color theme="6" tint="-0.499984740745262"/>
      </left>
      <right/>
      <top/>
      <bottom/>
      <diagonal/>
    </border>
    <border>
      <left/>
      <right style="medium">
        <color theme="6" tint="-0.499984740745262"/>
      </right>
      <top/>
      <bottom/>
      <diagonal/>
    </border>
    <border>
      <left style="medium">
        <color theme="6" tint="-0.499984740745262"/>
      </left>
      <right/>
      <top/>
      <bottom style="medium">
        <color theme="6" tint="-0.499984740745262"/>
      </bottom>
      <diagonal/>
    </border>
    <border>
      <left/>
      <right/>
      <top/>
      <bottom style="medium">
        <color theme="6" tint="-0.499984740745262"/>
      </bottom>
      <diagonal/>
    </border>
    <border>
      <left/>
      <right style="medium">
        <color theme="6" tint="-0.499984740745262"/>
      </right>
      <top/>
      <bottom style="medium">
        <color theme="6" tint="-0.499984740745262"/>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bottom style="medium">
        <color indexed="64"/>
      </bottom>
      <diagonal/>
    </border>
    <border>
      <left/>
      <right/>
      <top/>
      <bottom style="medium">
        <color theme="4" tint="-0.24994659260841701"/>
      </bottom>
      <diagonal/>
    </border>
    <border>
      <left style="medium">
        <color theme="6" tint="-0.499984740745262"/>
      </left>
      <right/>
      <top style="medium">
        <color theme="6" tint="-0.499984740745262"/>
      </top>
      <bottom style="medium">
        <color theme="6" tint="-0.499984740745262"/>
      </bottom>
      <diagonal/>
    </border>
    <border>
      <left/>
      <right/>
      <top style="medium">
        <color theme="6" tint="-0.499984740745262"/>
      </top>
      <bottom style="medium">
        <color theme="6" tint="-0.499984740745262"/>
      </bottom>
      <diagonal/>
    </border>
    <border>
      <left style="medium">
        <color theme="6" tint="-0.499984740745262"/>
      </left>
      <right style="medium">
        <color theme="6" tint="-0.499984740745262"/>
      </right>
      <top style="medium">
        <color theme="6" tint="-0.499984740745262"/>
      </top>
      <bottom/>
      <diagonal/>
    </border>
    <border>
      <left style="medium">
        <color theme="6" tint="-0.499984740745262"/>
      </left>
      <right style="medium">
        <color theme="6" tint="-0.499984740745262"/>
      </right>
      <top/>
      <bottom/>
      <diagonal/>
    </border>
    <border>
      <left style="medium">
        <color theme="6" tint="-0.499984740745262"/>
      </left>
      <right style="medium">
        <color theme="6" tint="-0.499984740745262"/>
      </right>
      <top/>
      <bottom style="medium">
        <color theme="6" tint="-0.499984740745262"/>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theme="6" tint="-0.499984740745262"/>
      </left>
      <right style="thin">
        <color theme="6" tint="-0.499984740745262"/>
      </right>
      <top style="thin">
        <color theme="6" tint="-0.499984740745262"/>
      </top>
      <bottom style="thin">
        <color theme="6" tint="-0.499984740745262"/>
      </bottom>
      <diagonal/>
    </border>
    <border>
      <left style="thin">
        <color theme="6" tint="-0.499984740745262"/>
      </left>
      <right style="thin">
        <color theme="6" tint="-0.499984740745262"/>
      </right>
      <top/>
      <bottom style="thin">
        <color theme="6" tint="-0.499984740745262"/>
      </bottom>
      <diagonal/>
    </border>
    <border>
      <left style="thin">
        <color indexed="64"/>
      </left>
      <right style="thin">
        <color indexed="64"/>
      </right>
      <top/>
      <bottom/>
      <diagonal/>
    </border>
    <border>
      <left style="thin">
        <color theme="6" tint="-0.499984740745262"/>
      </left>
      <right style="thin">
        <color theme="6" tint="-0.499984740745262"/>
      </right>
      <top style="thin">
        <color theme="6" tint="-0.499984740745262"/>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medium">
        <color indexed="64"/>
      </left>
      <right style="medium">
        <color indexed="64"/>
      </right>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top/>
      <bottom/>
      <diagonal/>
    </border>
  </borders>
  <cellStyleXfs count="13">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1" applyNumberFormat="0" applyFill="0" applyAlignment="0" applyProtection="0"/>
    <xf numFmtId="165" fontId="8" fillId="0" borderId="0">
      <alignment horizontal="left" indent="1"/>
    </xf>
    <xf numFmtId="0" fontId="9" fillId="5" borderId="0" applyNumberFormat="0" applyFont="0" applyBorder="0" applyAlignment="0">
      <alignment horizontal="left" vertical="center" indent="1"/>
    </xf>
    <xf numFmtId="0" fontId="11" fillId="0" borderId="0">
      <alignment vertical="top"/>
    </xf>
    <xf numFmtId="0" fontId="12" fillId="0" borderId="0" applyFill="0" applyBorder="0" applyProtection="0">
      <alignment vertical="center"/>
    </xf>
    <xf numFmtId="0" fontId="7" fillId="0" borderId="37" applyNumberFormat="0" applyFill="0" applyProtection="0">
      <alignment horizontal="left" vertical="center" indent="1"/>
    </xf>
    <xf numFmtId="0" fontId="7" fillId="0" borderId="0" applyFill="0" applyProtection="0"/>
    <xf numFmtId="0" fontId="11" fillId="0" borderId="0" applyFill="0" applyProtection="0"/>
    <xf numFmtId="0" fontId="14" fillId="0" borderId="0">
      <alignment horizontal="left" indent="1"/>
    </xf>
    <xf numFmtId="0" fontId="10" fillId="5" borderId="0" applyBorder="0" applyProtection="0">
      <alignment horizontal="left" vertical="top" wrapText="1" indent="1"/>
    </xf>
  </cellStyleXfs>
  <cellXfs count="332">
    <xf numFmtId="0" fontId="0" fillId="0" borderId="0" xfId="0"/>
    <xf numFmtId="0" fontId="0" fillId="3" borderId="0" xfId="0" applyFill="1"/>
    <xf numFmtId="0" fontId="0" fillId="6" borderId="0" xfId="0" applyFill="1"/>
    <xf numFmtId="0" fontId="0" fillId="4" borderId="0" xfId="0" applyFill="1"/>
    <xf numFmtId="0" fontId="4" fillId="4" borderId="0" xfId="0" applyFont="1" applyFill="1"/>
    <xf numFmtId="0" fontId="0" fillId="4" borderId="0" xfId="0" applyFill="1" applyAlignment="1">
      <alignment vertical="top"/>
    </xf>
    <xf numFmtId="0" fontId="0" fillId="3" borderId="25" xfId="0" applyFill="1" applyBorder="1"/>
    <xf numFmtId="0" fontId="0" fillId="3" borderId="27" xfId="0" applyFill="1" applyBorder="1"/>
    <xf numFmtId="0" fontId="0" fillId="3" borderId="30" xfId="0" applyFill="1" applyBorder="1"/>
    <xf numFmtId="0" fontId="0" fillId="6" borderId="31" xfId="0" applyFill="1" applyBorder="1"/>
    <xf numFmtId="0" fontId="0" fillId="6" borderId="32" xfId="0" applyFill="1" applyBorder="1"/>
    <xf numFmtId="0" fontId="3" fillId="7" borderId="35" xfId="0" applyFont="1" applyFill="1" applyBorder="1"/>
    <xf numFmtId="0" fontId="3" fillId="7" borderId="33" xfId="0" applyFont="1" applyFill="1" applyBorder="1"/>
    <xf numFmtId="0" fontId="3" fillId="7" borderId="34" xfId="0" applyFont="1" applyFill="1" applyBorder="1"/>
    <xf numFmtId="0" fontId="0" fillId="5" borderId="31" xfId="0" applyFill="1" applyBorder="1"/>
    <xf numFmtId="0" fontId="3" fillId="7" borderId="33" xfId="0" applyFont="1" applyFill="1" applyBorder="1" applyAlignment="1">
      <alignment horizontal="left"/>
    </xf>
    <xf numFmtId="0" fontId="3" fillId="7" borderId="34" xfId="0" applyFont="1" applyFill="1" applyBorder="1" applyAlignment="1">
      <alignment horizontal="left"/>
    </xf>
    <xf numFmtId="0" fontId="4" fillId="4" borderId="0" xfId="0" applyFont="1" applyFill="1" applyAlignment="1">
      <alignment horizontal="left"/>
    </xf>
    <xf numFmtId="0" fontId="0" fillId="4" borderId="0" xfId="0" applyFill="1" applyAlignment="1">
      <alignment horizontal="left" vertical="top"/>
    </xf>
    <xf numFmtId="0" fontId="3" fillId="8" borderId="25" xfId="0" applyFont="1" applyFill="1" applyBorder="1"/>
    <xf numFmtId="0" fontId="3" fillId="8" borderId="27" xfId="0" applyFont="1" applyFill="1" applyBorder="1"/>
    <xf numFmtId="0" fontId="0" fillId="6" borderId="36" xfId="0" applyFill="1" applyBorder="1"/>
    <xf numFmtId="0" fontId="3" fillId="8" borderId="30" xfId="0" applyFont="1" applyFill="1" applyBorder="1"/>
    <xf numFmtId="164" fontId="0" fillId="6" borderId="31" xfId="0" applyNumberFormat="1" applyFill="1" applyBorder="1" applyAlignment="1">
      <alignment horizontal="left"/>
    </xf>
    <xf numFmtId="0" fontId="11" fillId="6" borderId="0" xfId="6" applyFill="1">
      <alignment vertical="top"/>
    </xf>
    <xf numFmtId="0" fontId="16" fillId="6" borderId="0" xfId="6" applyFont="1" applyFill="1" applyAlignment="1"/>
    <xf numFmtId="0" fontId="9" fillId="6" borderId="0" xfId="6" applyFont="1" applyFill="1">
      <alignment vertical="top"/>
    </xf>
    <xf numFmtId="0" fontId="9" fillId="6" borderId="0" xfId="8" applyFont="1" applyFill="1" applyBorder="1" applyAlignment="1">
      <alignment vertical="center"/>
    </xf>
    <xf numFmtId="0" fontId="17" fillId="6" borderId="0" xfId="7" applyFont="1" applyFill="1" applyAlignment="1">
      <alignment horizontal="left" vertical="center"/>
    </xf>
    <xf numFmtId="0" fontId="7" fillId="6" borderId="0" xfId="9" applyFill="1"/>
    <xf numFmtId="0" fontId="13" fillId="6" borderId="0" xfId="6" applyFont="1" applyFill="1">
      <alignment vertical="top"/>
    </xf>
    <xf numFmtId="0" fontId="11" fillId="6" borderId="0" xfId="10" applyFill="1"/>
    <xf numFmtId="0" fontId="11" fillId="6" borderId="0" xfId="6" applyFill="1" applyAlignment="1">
      <alignment horizontal="left" indent="1"/>
    </xf>
    <xf numFmtId="165" fontId="11" fillId="6" borderId="0" xfId="6" applyNumberFormat="1" applyFill="1">
      <alignment vertical="top"/>
    </xf>
    <xf numFmtId="0" fontId="11" fillId="6" borderId="0" xfId="6" applyFill="1" applyAlignment="1">
      <alignment horizontal="right"/>
    </xf>
    <xf numFmtId="0" fontId="9" fillId="9" borderId="38" xfId="8" applyFont="1" applyFill="1" applyBorder="1">
      <alignment horizontal="left" vertical="center" indent="1"/>
    </xf>
    <xf numFmtId="0" fontId="9" fillId="9" borderId="39" xfId="8" applyFont="1" applyFill="1" applyBorder="1">
      <alignment horizontal="left" vertical="center" indent="1"/>
    </xf>
    <xf numFmtId="0" fontId="18" fillId="6" borderId="0" xfId="7" applyFont="1" applyFill="1" applyBorder="1" applyAlignment="1"/>
    <xf numFmtId="165" fontId="9" fillId="6" borderId="40" xfId="4" applyFont="1" applyFill="1" applyBorder="1">
      <alignment horizontal="left" indent="1"/>
    </xf>
    <xf numFmtId="165" fontId="9" fillId="6" borderId="41" xfId="4" applyFont="1" applyFill="1" applyBorder="1">
      <alignment horizontal="left" indent="1"/>
    </xf>
    <xf numFmtId="0" fontId="9" fillId="10" borderId="42" xfId="5" applyFont="1" applyFill="1" applyBorder="1" applyAlignment="1">
      <alignment vertical="top"/>
    </xf>
    <xf numFmtId="165" fontId="9" fillId="10" borderId="40" xfId="5" applyNumberFormat="1" applyFont="1" applyFill="1" applyBorder="1" applyAlignment="1">
      <alignment horizontal="left" wrapText="1" indent="1"/>
    </xf>
    <xf numFmtId="0" fontId="9" fillId="10" borderId="18" xfId="5" applyFont="1" applyFill="1" applyBorder="1" applyAlignment="1">
      <alignment vertical="top"/>
    </xf>
    <xf numFmtId="0" fontId="20" fillId="6" borderId="0" xfId="6" applyFont="1" applyFill="1" applyAlignment="1"/>
    <xf numFmtId="0" fontId="15" fillId="9" borderId="11" xfId="9" applyFont="1" applyFill="1" applyBorder="1" applyAlignment="1">
      <alignment horizontal="center"/>
    </xf>
    <xf numFmtId="0" fontId="15" fillId="3" borderId="38" xfId="11" applyFont="1" applyFill="1" applyBorder="1" applyAlignment="1">
      <alignment horizontal="center"/>
    </xf>
    <xf numFmtId="0" fontId="15" fillId="3" borderId="11" xfId="11" applyFont="1" applyFill="1" applyBorder="1" applyAlignment="1">
      <alignment horizontal="center"/>
    </xf>
    <xf numFmtId="0" fontId="3" fillId="4" borderId="0" xfId="0" applyFont="1" applyFill="1"/>
    <xf numFmtId="0" fontId="21" fillId="4" borderId="0" xfId="0" applyFont="1" applyFill="1"/>
    <xf numFmtId="165" fontId="8" fillId="8" borderId="6" xfId="4" applyFill="1" applyBorder="1" applyAlignment="1">
      <alignment horizontal="left" vertical="top"/>
    </xf>
    <xf numFmtId="165" fontId="8" fillId="8" borderId="0" xfId="4" applyFill="1" applyAlignment="1">
      <alignment horizontal="left" vertical="top"/>
    </xf>
    <xf numFmtId="165" fontId="8" fillId="8" borderId="7" xfId="4" applyFill="1" applyBorder="1" applyAlignment="1">
      <alignment horizontal="left" vertical="top"/>
    </xf>
    <xf numFmtId="165" fontId="0" fillId="8" borderId="6" xfId="0" applyNumberFormat="1" applyFill="1" applyBorder="1" applyAlignment="1">
      <alignment horizontal="left" vertical="top"/>
    </xf>
    <xf numFmtId="165" fontId="0" fillId="8" borderId="0" xfId="0" applyNumberFormat="1" applyFill="1" applyAlignment="1">
      <alignment horizontal="left" vertical="top"/>
    </xf>
    <xf numFmtId="165" fontId="0" fillId="8" borderId="7" xfId="0" applyNumberFormat="1" applyFill="1" applyBorder="1" applyAlignment="1">
      <alignment horizontal="left" vertical="top"/>
    </xf>
    <xf numFmtId="165" fontId="8" fillId="8" borderId="6" xfId="5" applyNumberFormat="1" applyFont="1" applyFill="1" applyBorder="1" applyAlignment="1">
      <alignment horizontal="left" vertical="top" wrapText="1"/>
    </xf>
    <xf numFmtId="165" fontId="8" fillId="8" borderId="0" xfId="5" applyNumberFormat="1" applyFont="1" applyFill="1" applyBorder="1" applyAlignment="1">
      <alignment horizontal="left" vertical="top" wrapText="1"/>
    </xf>
    <xf numFmtId="165" fontId="8" fillId="8" borderId="7" xfId="5" applyNumberFormat="1" applyFont="1" applyFill="1" applyBorder="1" applyAlignment="1">
      <alignment horizontal="left" vertical="top" wrapText="1"/>
    </xf>
    <xf numFmtId="165" fontId="0" fillId="8" borderId="6" xfId="5" applyNumberFormat="1" applyFont="1" applyFill="1" applyBorder="1" applyAlignment="1">
      <alignment horizontal="left" vertical="top"/>
    </xf>
    <xf numFmtId="165" fontId="0" fillId="8" borderId="0" xfId="5" applyNumberFormat="1" applyFont="1" applyFill="1" applyBorder="1" applyAlignment="1">
      <alignment horizontal="left" vertical="top"/>
    </xf>
    <xf numFmtId="165" fontId="0" fillId="8" borderId="7" xfId="5" applyNumberFormat="1" applyFont="1" applyFill="1" applyBorder="1" applyAlignment="1">
      <alignment horizontal="left" vertical="top"/>
    </xf>
    <xf numFmtId="0" fontId="0" fillId="10" borderId="0" xfId="0" applyFill="1"/>
    <xf numFmtId="164" fontId="15" fillId="3" borderId="38" xfId="11" applyNumberFormat="1" applyFont="1" applyFill="1" applyBorder="1" applyAlignment="1">
      <alignment horizontal="center"/>
    </xf>
    <xf numFmtId="0" fontId="2" fillId="0" borderId="3" xfId="3" applyFill="1" applyBorder="1" applyAlignment="1">
      <alignment horizontal="left" vertical="center" indent="1"/>
    </xf>
    <xf numFmtId="0" fontId="2" fillId="0" borderId="4" xfId="3" applyFill="1" applyBorder="1" applyAlignment="1">
      <alignment horizontal="left" vertical="center" indent="1"/>
    </xf>
    <xf numFmtId="0" fontId="2" fillId="0" borderId="5" xfId="3" applyFill="1" applyBorder="1" applyAlignment="1">
      <alignment horizontal="left" vertical="center" indent="1"/>
    </xf>
    <xf numFmtId="165" fontId="8" fillId="8" borderId="3" xfId="4" applyFill="1" applyBorder="1" applyAlignment="1">
      <alignment horizontal="left" vertical="top"/>
    </xf>
    <xf numFmtId="165" fontId="8" fillId="8" borderId="4" xfId="4" applyFill="1" applyBorder="1" applyAlignment="1">
      <alignment horizontal="left" vertical="top"/>
    </xf>
    <xf numFmtId="165" fontId="8" fillId="8" borderId="5" xfId="4" applyFill="1" applyBorder="1" applyAlignment="1">
      <alignment horizontal="left" vertical="top"/>
    </xf>
    <xf numFmtId="165" fontId="0" fillId="8" borderId="8" xfId="0" applyNumberFormat="1" applyFill="1" applyBorder="1" applyAlignment="1">
      <alignment horizontal="left" vertical="top"/>
    </xf>
    <xf numFmtId="165" fontId="0" fillId="8" borderId="9" xfId="0" applyNumberFormat="1" applyFill="1" applyBorder="1" applyAlignment="1">
      <alignment horizontal="left" vertical="top"/>
    </xf>
    <xf numFmtId="165" fontId="0" fillId="8" borderId="10" xfId="0" applyNumberFormat="1" applyFill="1" applyBorder="1" applyAlignment="1">
      <alignment horizontal="left" vertical="top"/>
    </xf>
    <xf numFmtId="165" fontId="8" fillId="10" borderId="4" xfId="4" applyFill="1" applyBorder="1" applyAlignment="1">
      <alignment horizontal="left" vertical="top"/>
    </xf>
    <xf numFmtId="165" fontId="8" fillId="10" borderId="5" xfId="4" applyFill="1" applyBorder="1" applyAlignment="1">
      <alignment horizontal="left" vertical="top"/>
    </xf>
    <xf numFmtId="165" fontId="0" fillId="10" borderId="6" xfId="0" applyNumberFormat="1" applyFill="1" applyBorder="1" applyAlignment="1">
      <alignment horizontal="left" vertical="top"/>
    </xf>
    <xf numFmtId="165" fontId="0" fillId="10" borderId="0" xfId="0" applyNumberFormat="1" applyFill="1" applyAlignment="1">
      <alignment horizontal="left" vertical="top"/>
    </xf>
    <xf numFmtId="165" fontId="0" fillId="10" borderId="7" xfId="0" applyNumberFormat="1" applyFill="1" applyBorder="1" applyAlignment="1">
      <alignment horizontal="left" vertical="top"/>
    </xf>
    <xf numFmtId="165" fontId="8" fillId="10" borderId="6" xfId="5" applyNumberFormat="1" applyFont="1" applyFill="1" applyBorder="1" applyAlignment="1">
      <alignment horizontal="left" vertical="top" wrapText="1"/>
    </xf>
    <xf numFmtId="165" fontId="8" fillId="10" borderId="0" xfId="5" applyNumberFormat="1" applyFont="1" applyFill="1" applyBorder="1" applyAlignment="1">
      <alignment horizontal="left" vertical="top" wrapText="1"/>
    </xf>
    <xf numFmtId="165" fontId="8" fillId="10" borderId="7" xfId="5" applyNumberFormat="1" applyFont="1" applyFill="1" applyBorder="1" applyAlignment="1">
      <alignment horizontal="left" vertical="top" wrapText="1"/>
    </xf>
    <xf numFmtId="165" fontId="0" fillId="10" borderId="6" xfId="5" applyNumberFormat="1" applyFont="1" applyFill="1" applyBorder="1" applyAlignment="1">
      <alignment horizontal="left" vertical="top"/>
    </xf>
    <xf numFmtId="165" fontId="0" fillId="10" borderId="0" xfId="5" applyNumberFormat="1" applyFont="1" applyFill="1" applyBorder="1" applyAlignment="1">
      <alignment horizontal="left" vertical="top"/>
    </xf>
    <xf numFmtId="165" fontId="0" fillId="10" borderId="7" xfId="5" applyNumberFormat="1" applyFont="1" applyFill="1" applyBorder="1" applyAlignment="1">
      <alignment horizontal="left" vertical="top"/>
    </xf>
    <xf numFmtId="165" fontId="8" fillId="10" borderId="6" xfId="4" applyFill="1" applyBorder="1" applyAlignment="1">
      <alignment horizontal="left" vertical="top"/>
    </xf>
    <xf numFmtId="165" fontId="8" fillId="10" borderId="0" xfId="4" applyFill="1" applyAlignment="1">
      <alignment horizontal="left" vertical="top"/>
    </xf>
    <xf numFmtId="165" fontId="8" fillId="10" borderId="7" xfId="4" applyFill="1" applyBorder="1" applyAlignment="1">
      <alignment horizontal="left" vertical="top"/>
    </xf>
    <xf numFmtId="165" fontId="0" fillId="10" borderId="8" xfId="0" applyNumberFormat="1" applyFill="1" applyBorder="1" applyAlignment="1">
      <alignment horizontal="left" vertical="top"/>
    </xf>
    <xf numFmtId="165" fontId="0" fillId="10" borderId="9" xfId="0" applyNumberFormat="1" applyFill="1" applyBorder="1" applyAlignment="1">
      <alignment horizontal="left" vertical="top"/>
    </xf>
    <xf numFmtId="165" fontId="0" fillId="10" borderId="10" xfId="0" applyNumberFormat="1" applyFill="1" applyBorder="1" applyAlignment="1">
      <alignment horizontal="left" vertical="top"/>
    </xf>
    <xf numFmtId="165" fontId="0" fillId="11" borderId="4" xfId="0" applyNumberFormat="1" applyFill="1" applyBorder="1" applyAlignment="1">
      <alignment horizontal="left"/>
    </xf>
    <xf numFmtId="165" fontId="0" fillId="11" borderId="5" xfId="0" applyNumberFormat="1" applyFill="1" applyBorder="1" applyAlignment="1">
      <alignment horizontal="left"/>
    </xf>
    <xf numFmtId="165" fontId="0" fillId="11" borderId="6" xfId="0" applyNumberFormat="1" applyFill="1" applyBorder="1" applyAlignment="1">
      <alignment horizontal="left"/>
    </xf>
    <xf numFmtId="165" fontId="0" fillId="11" borderId="0" xfId="0" applyNumberFormat="1" applyFill="1" applyAlignment="1">
      <alignment horizontal="left"/>
    </xf>
    <xf numFmtId="165" fontId="0" fillId="11" borderId="7" xfId="0" applyNumberFormat="1" applyFill="1" applyBorder="1" applyAlignment="1">
      <alignment horizontal="left"/>
    </xf>
    <xf numFmtId="165" fontId="0" fillId="11" borderId="8" xfId="0" applyNumberFormat="1" applyFill="1" applyBorder="1" applyAlignment="1">
      <alignment horizontal="left"/>
    </xf>
    <xf numFmtId="165" fontId="0" fillId="11" borderId="9" xfId="0" applyNumberFormat="1" applyFill="1" applyBorder="1" applyAlignment="1">
      <alignment horizontal="left"/>
    </xf>
    <xf numFmtId="165" fontId="0" fillId="11" borderId="10" xfId="0" applyNumberFormat="1" applyFill="1" applyBorder="1" applyAlignment="1">
      <alignment horizontal="left"/>
    </xf>
    <xf numFmtId="0" fontId="9" fillId="9" borderId="11" xfId="8" applyFont="1" applyFill="1" applyBorder="1">
      <alignment horizontal="left" vertical="center" indent="1"/>
    </xf>
    <xf numFmtId="0" fontId="0" fillId="6" borderId="0" xfId="0" applyFill="1" applyAlignment="1">
      <alignment vertical="top"/>
    </xf>
    <xf numFmtId="0" fontId="7" fillId="6" borderId="0" xfId="8" applyFill="1" applyBorder="1" applyAlignment="1">
      <alignment vertical="center"/>
    </xf>
    <xf numFmtId="0" fontId="12" fillId="6" borderId="0" xfId="7" applyFill="1" applyBorder="1" applyAlignment="1">
      <alignment horizontal="right" vertical="center"/>
    </xf>
    <xf numFmtId="165" fontId="9" fillId="10" borderId="40" xfId="4" applyFont="1" applyFill="1" applyBorder="1">
      <alignment horizontal="left" indent="1"/>
    </xf>
    <xf numFmtId="0" fontId="9" fillId="10" borderId="42" xfId="6" applyFont="1" applyFill="1" applyBorder="1">
      <alignment vertical="top"/>
    </xf>
    <xf numFmtId="0" fontId="9" fillId="10" borderId="18" xfId="6" applyFont="1" applyFill="1" applyBorder="1">
      <alignment vertical="top"/>
    </xf>
    <xf numFmtId="0" fontId="0" fillId="12" borderId="0" xfId="0" applyFill="1"/>
    <xf numFmtId="165" fontId="9" fillId="10" borderId="40" xfId="5" applyNumberFormat="1" applyFont="1" applyFill="1" applyBorder="1" applyAlignment="1">
      <alignment horizontal="left" indent="1"/>
    </xf>
    <xf numFmtId="0" fontId="11" fillId="6" borderId="0" xfId="6" applyFill="1" applyAlignment="1"/>
    <xf numFmtId="0" fontId="9" fillId="6" borderId="0" xfId="5" applyFont="1" applyFill="1" applyAlignment="1"/>
    <xf numFmtId="164" fontId="15" fillId="6" borderId="0" xfId="11" applyNumberFormat="1" applyFont="1" applyFill="1" applyAlignment="1">
      <alignment horizontal="center"/>
    </xf>
    <xf numFmtId="0" fontId="15" fillId="6" borderId="0" xfId="11" applyFont="1" applyFill="1" applyAlignment="1">
      <alignment horizontal="center"/>
    </xf>
    <xf numFmtId="0" fontId="19" fillId="10" borderId="41" xfId="6" applyFont="1" applyFill="1" applyBorder="1" applyAlignment="1">
      <alignment horizontal="left" vertical="top"/>
    </xf>
    <xf numFmtId="0" fontId="19" fillId="6" borderId="41" xfId="6" applyFont="1" applyFill="1" applyBorder="1" applyAlignment="1">
      <alignment horizontal="left" vertical="top"/>
    </xf>
    <xf numFmtId="0" fontId="19" fillId="10" borderId="40" xfId="12" applyFont="1" applyFill="1" applyBorder="1" applyAlignment="1">
      <alignment vertical="top" wrapText="1"/>
    </xf>
    <xf numFmtId="0" fontId="19" fillId="10" borderId="42" xfId="12" applyFont="1" applyFill="1" applyBorder="1" applyAlignment="1">
      <alignment vertical="top" wrapText="1"/>
    </xf>
    <xf numFmtId="0" fontId="0" fillId="6" borderId="47" xfId="0" applyFill="1" applyBorder="1"/>
    <xf numFmtId="164" fontId="0" fillId="5" borderId="30" xfId="0" applyNumberFormat="1" applyFill="1" applyBorder="1" applyAlignment="1">
      <alignment horizontal="left"/>
    </xf>
    <xf numFmtId="164" fontId="0" fillId="5" borderId="31" xfId="0" applyNumberFormat="1" applyFill="1" applyBorder="1" applyAlignment="1">
      <alignment horizontal="left"/>
    </xf>
    <xf numFmtId="164" fontId="0" fillId="6" borderId="24" xfId="0" applyNumberFormat="1" applyFill="1" applyBorder="1" applyAlignment="1">
      <alignment horizontal="left"/>
    </xf>
    <xf numFmtId="164" fontId="0" fillId="6" borderId="28" xfId="0" applyNumberFormat="1" applyFill="1" applyBorder="1" applyAlignment="1">
      <alignment horizontal="left"/>
    </xf>
    <xf numFmtId="0" fontId="0" fillId="4" borderId="0" xfId="0" applyFill="1" applyAlignment="1">
      <alignment horizontal="left"/>
    </xf>
    <xf numFmtId="44" fontId="0" fillId="3" borderId="2" xfId="1" applyFont="1" applyFill="1" applyBorder="1" applyAlignment="1"/>
    <xf numFmtId="9" fontId="0" fillId="3" borderId="2" xfId="2" applyFont="1" applyFill="1" applyBorder="1" applyAlignment="1"/>
    <xf numFmtId="0" fontId="18" fillId="6" borderId="0" xfId="7" applyFont="1" applyFill="1" applyBorder="1" applyAlignment="1">
      <alignment horizontal="left"/>
    </xf>
    <xf numFmtId="0" fontId="19" fillId="10" borderId="41" xfId="6" applyFont="1" applyFill="1" applyBorder="1">
      <alignment vertical="top"/>
    </xf>
    <xf numFmtId="0" fontId="11" fillId="6" borderId="0" xfId="6" applyFill="1" applyAlignment="1">
      <alignment horizontal="left" vertical="top"/>
    </xf>
    <xf numFmtId="165" fontId="9" fillId="10" borderId="41" xfId="5" applyNumberFormat="1" applyFont="1" applyFill="1" applyBorder="1" applyAlignment="1">
      <alignment horizontal="left" vertical="top" wrapText="1"/>
    </xf>
    <xf numFmtId="165" fontId="9" fillId="6" borderId="41" xfId="5" applyNumberFormat="1" applyFont="1" applyFill="1" applyBorder="1" applyAlignment="1">
      <alignment horizontal="left" vertical="top" wrapText="1"/>
    </xf>
    <xf numFmtId="0" fontId="19" fillId="10" borderId="41" xfId="12" applyFont="1" applyFill="1" applyBorder="1" applyAlignment="1">
      <alignment horizontal="left" vertical="top" wrapText="1"/>
    </xf>
    <xf numFmtId="165" fontId="11" fillId="6" borderId="0" xfId="6" applyNumberFormat="1" applyFill="1" applyAlignment="1">
      <alignment horizontal="left" vertical="top"/>
    </xf>
    <xf numFmtId="0" fontId="0" fillId="6" borderId="0" xfId="0" applyFill="1" applyAlignment="1">
      <alignment horizontal="left" vertical="top"/>
    </xf>
    <xf numFmtId="0" fontId="0" fillId="6" borderId="43" xfId="0" applyFill="1" applyBorder="1"/>
    <xf numFmtId="0" fontId="9" fillId="6" borderId="41" xfId="6" quotePrefix="1" applyFont="1" applyFill="1" applyBorder="1">
      <alignment vertical="top"/>
    </xf>
    <xf numFmtId="0" fontId="9" fillId="9" borderId="42" xfId="0" applyFont="1" applyFill="1" applyBorder="1"/>
    <xf numFmtId="0" fontId="9" fillId="9" borderId="0" xfId="0" applyFont="1" applyFill="1"/>
    <xf numFmtId="0" fontId="9" fillId="9" borderId="41" xfId="0" applyFont="1" applyFill="1" applyBorder="1"/>
    <xf numFmtId="0" fontId="9" fillId="9" borderId="16" xfId="0" applyFont="1" applyFill="1" applyBorder="1"/>
    <xf numFmtId="164" fontId="0" fillId="6" borderId="47" xfId="0" applyNumberFormat="1" applyFill="1" applyBorder="1" applyAlignment="1">
      <alignment horizontal="left"/>
    </xf>
    <xf numFmtId="0" fontId="0" fillId="8" borderId="47" xfId="0" applyFill="1" applyBorder="1"/>
    <xf numFmtId="0" fontId="11" fillId="6" borderId="0" xfId="6" applyFill="1" applyAlignment="1">
      <alignment horizontal="center" vertical="center"/>
    </xf>
    <xf numFmtId="0" fontId="9" fillId="6" borderId="41" xfId="6" quotePrefix="1" applyFont="1" applyFill="1" applyBorder="1" applyAlignment="1">
      <alignment horizontal="center" vertical="center"/>
    </xf>
    <xf numFmtId="0" fontId="0" fillId="6" borderId="0" xfId="0" applyFill="1" applyAlignment="1">
      <alignment horizontal="center" vertical="center"/>
    </xf>
    <xf numFmtId="165" fontId="9" fillId="6" borderId="0" xfId="4" applyFont="1" applyFill="1" applyAlignment="1">
      <alignment horizontal="center" vertical="center"/>
    </xf>
    <xf numFmtId="165" fontId="9" fillId="6" borderId="41" xfId="4" applyFont="1" applyFill="1" applyBorder="1" applyAlignment="1">
      <alignment horizontal="center" vertical="center"/>
    </xf>
    <xf numFmtId="0" fontId="9" fillId="10" borderId="41" xfId="6" quotePrefix="1" applyFont="1" applyFill="1" applyBorder="1" applyAlignment="1">
      <alignment horizontal="center" vertical="center"/>
    </xf>
    <xf numFmtId="0" fontId="9" fillId="10" borderId="11" xfId="6" applyFont="1" applyFill="1" applyBorder="1" applyAlignment="1">
      <alignment wrapText="1"/>
    </xf>
    <xf numFmtId="0" fontId="9" fillId="6" borderId="0" xfId="6" applyFont="1" applyFill="1" applyAlignment="1">
      <alignment horizontal="left"/>
    </xf>
    <xf numFmtId="0" fontId="24" fillId="2" borderId="11" xfId="6" applyFont="1" applyFill="1" applyBorder="1" applyAlignment="1">
      <alignment horizontal="center" wrapText="1"/>
    </xf>
    <xf numFmtId="0" fontId="0" fillId="4" borderId="0" xfId="0" applyFill="1" applyAlignment="1">
      <alignment horizontal="center"/>
    </xf>
    <xf numFmtId="0" fontId="9" fillId="13" borderId="11" xfId="6" applyFont="1" applyFill="1" applyBorder="1" applyAlignment="1">
      <alignment wrapText="1"/>
    </xf>
    <xf numFmtId="0" fontId="0" fillId="2" borderId="0" xfId="0" applyFill="1"/>
    <xf numFmtId="0" fontId="0" fillId="14" borderId="0" xfId="0" applyFill="1"/>
    <xf numFmtId="0" fontId="0" fillId="15" borderId="0" xfId="0" applyFill="1"/>
    <xf numFmtId="0" fontId="3" fillId="16" borderId="35" xfId="0" applyFont="1" applyFill="1" applyBorder="1" applyAlignment="1">
      <alignment horizontal="center"/>
    </xf>
    <xf numFmtId="0" fontId="3" fillId="16" borderId="33" xfId="0" applyFont="1" applyFill="1" applyBorder="1" applyAlignment="1">
      <alignment horizontal="center"/>
    </xf>
    <xf numFmtId="0" fontId="3" fillId="16" borderId="34" xfId="0" applyFont="1" applyFill="1" applyBorder="1" applyAlignment="1">
      <alignment horizontal="center"/>
    </xf>
    <xf numFmtId="0" fontId="3" fillId="9" borderId="20" xfId="0" applyFont="1" applyFill="1" applyBorder="1"/>
    <xf numFmtId="0" fontId="3" fillId="9" borderId="22" xfId="0" applyFont="1" applyFill="1" applyBorder="1"/>
    <xf numFmtId="0" fontId="3" fillId="9" borderId="21" xfId="0" applyFont="1" applyFill="1" applyBorder="1"/>
    <xf numFmtId="0" fontId="9" fillId="4" borderId="0" xfId="0" applyFont="1" applyFill="1"/>
    <xf numFmtId="0" fontId="19" fillId="4" borderId="0" xfId="0" applyFont="1" applyFill="1"/>
    <xf numFmtId="0" fontId="9" fillId="4" borderId="3" xfId="0" applyFont="1" applyFill="1" applyBorder="1"/>
    <xf numFmtId="0" fontId="9" fillId="4" borderId="4" xfId="0" applyFont="1" applyFill="1" applyBorder="1"/>
    <xf numFmtId="0" fontId="9" fillId="4" borderId="5" xfId="0" applyFont="1" applyFill="1" applyBorder="1"/>
    <xf numFmtId="0" fontId="9" fillId="2" borderId="3" xfId="0" applyFont="1" applyFill="1" applyBorder="1"/>
    <xf numFmtId="0" fontId="9" fillId="2" borderId="4" xfId="0" applyFont="1" applyFill="1" applyBorder="1"/>
    <xf numFmtId="0" fontId="9" fillId="4" borderId="6" xfId="0" applyFont="1" applyFill="1" applyBorder="1"/>
    <xf numFmtId="0" fontId="9" fillId="4" borderId="7" xfId="0" applyFont="1" applyFill="1" applyBorder="1"/>
    <xf numFmtId="0" fontId="9" fillId="2" borderId="6" xfId="0" applyFont="1" applyFill="1" applyBorder="1"/>
    <xf numFmtId="0" fontId="9" fillId="2" borderId="0" xfId="0" applyFont="1" applyFill="1"/>
    <xf numFmtId="0" fontId="9" fillId="4" borderId="8" xfId="0" applyFont="1" applyFill="1" applyBorder="1"/>
    <xf numFmtId="0" fontId="9" fillId="4" borderId="9" xfId="0" applyFont="1" applyFill="1" applyBorder="1"/>
    <xf numFmtId="0" fontId="9" fillId="4" borderId="10" xfId="0" applyFont="1" applyFill="1" applyBorder="1"/>
    <xf numFmtId="0" fontId="9" fillId="2" borderId="8" xfId="0" applyFont="1" applyFill="1" applyBorder="1"/>
    <xf numFmtId="0" fontId="9" fillId="2" borderId="9" xfId="0" applyFont="1" applyFill="1" applyBorder="1"/>
    <xf numFmtId="0" fontId="25" fillId="4" borderId="0" xfId="0" applyFont="1" applyFill="1"/>
    <xf numFmtId="0" fontId="19" fillId="2" borderId="0" xfId="0" applyFont="1" applyFill="1"/>
    <xf numFmtId="0" fontId="3" fillId="2" borderId="0" xfId="0" applyFont="1" applyFill="1"/>
    <xf numFmtId="0" fontId="26" fillId="2" borderId="0" xfId="0" applyFont="1" applyFill="1"/>
    <xf numFmtId="0" fontId="0" fillId="3" borderId="31" xfId="0" applyFill="1" applyBorder="1" applyAlignment="1" applyProtection="1">
      <alignment horizontal="left"/>
      <protection locked="0"/>
    </xf>
    <xf numFmtId="0" fontId="0" fillId="3" borderId="31" xfId="0" applyFill="1" applyBorder="1" applyProtection="1">
      <protection locked="0"/>
    </xf>
    <xf numFmtId="0" fontId="0" fillId="3" borderId="32" xfId="0" applyFill="1" applyBorder="1" applyProtection="1">
      <protection locked="0"/>
    </xf>
    <xf numFmtId="0" fontId="0" fillId="3" borderId="24" xfId="0" applyFill="1" applyBorder="1" applyAlignment="1" applyProtection="1">
      <alignment horizontal="left"/>
      <protection locked="0"/>
    </xf>
    <xf numFmtId="0" fontId="0" fillId="3" borderId="24" xfId="0" applyFill="1" applyBorder="1" applyProtection="1">
      <protection locked="0"/>
    </xf>
    <xf numFmtId="0" fontId="0" fillId="3" borderId="26" xfId="0" applyFill="1" applyBorder="1" applyProtection="1">
      <protection locked="0"/>
    </xf>
    <xf numFmtId="0" fontId="0" fillId="3" borderId="49" xfId="0" applyFill="1" applyBorder="1" applyProtection="1">
      <protection locked="0"/>
    </xf>
    <xf numFmtId="0" fontId="0" fillId="3" borderId="28" xfId="0" applyFill="1" applyBorder="1" applyAlignment="1" applyProtection="1">
      <alignment horizontal="left"/>
      <protection locked="0"/>
    </xf>
    <xf numFmtId="0" fontId="0" fillId="3" borderId="28" xfId="0" applyFill="1" applyBorder="1" applyProtection="1">
      <protection locked="0"/>
    </xf>
    <xf numFmtId="0" fontId="0" fillId="3" borderId="29" xfId="0" applyFill="1" applyBorder="1" applyProtection="1">
      <protection locked="0"/>
    </xf>
    <xf numFmtId="0" fontId="0" fillId="3" borderId="47" xfId="0" applyFill="1" applyBorder="1" applyProtection="1">
      <protection locked="0"/>
    </xf>
    <xf numFmtId="0" fontId="0" fillId="3" borderId="48" xfId="0" applyFill="1" applyBorder="1" applyProtection="1">
      <protection locked="0"/>
    </xf>
    <xf numFmtId="0" fontId="0" fillId="3" borderId="50" xfId="0" applyFill="1" applyBorder="1" applyProtection="1">
      <protection locked="0"/>
    </xf>
    <xf numFmtId="44" fontId="0" fillId="3" borderId="31" xfId="1" applyFont="1" applyFill="1" applyBorder="1" applyProtection="1">
      <protection locked="0"/>
    </xf>
    <xf numFmtId="44" fontId="0" fillId="3" borderId="24" xfId="1" applyFont="1" applyFill="1" applyBorder="1" applyProtection="1">
      <protection locked="0"/>
    </xf>
    <xf numFmtId="0" fontId="0" fillId="6" borderId="2" xfId="0" applyFill="1" applyBorder="1"/>
    <xf numFmtId="14" fontId="0" fillId="3" borderId="2" xfId="0" applyNumberFormat="1" applyFill="1" applyBorder="1" applyProtection="1">
      <protection locked="0"/>
    </xf>
    <xf numFmtId="0" fontId="0" fillId="15" borderId="9" xfId="0" applyFill="1" applyBorder="1" applyAlignment="1">
      <alignment horizontal="left" wrapText="1"/>
    </xf>
    <xf numFmtId="0" fontId="4" fillId="4" borderId="0" xfId="0" applyFont="1" applyFill="1" applyAlignment="1">
      <alignment horizontal="center"/>
    </xf>
    <xf numFmtId="0" fontId="0" fillId="4" borderId="0" xfId="0" applyFill="1" applyAlignment="1">
      <alignment horizontal="center" vertical="top"/>
    </xf>
    <xf numFmtId="0" fontId="3" fillId="7" borderId="33" xfId="0" applyFont="1" applyFill="1" applyBorder="1" applyAlignment="1">
      <alignment horizontal="center"/>
    </xf>
    <xf numFmtId="0" fontId="0" fillId="3" borderId="31" xfId="0" applyFill="1" applyBorder="1" applyAlignment="1" applyProtection="1">
      <alignment horizontal="center"/>
      <protection locked="0"/>
    </xf>
    <xf numFmtId="0" fontId="0" fillId="3" borderId="24" xfId="0" applyFill="1" applyBorder="1" applyAlignment="1" applyProtection="1">
      <alignment horizontal="center"/>
      <protection locked="0"/>
    </xf>
    <xf numFmtId="0" fontId="0" fillId="3" borderId="28" xfId="0" applyFill="1" applyBorder="1" applyAlignment="1" applyProtection="1">
      <alignment horizontal="center"/>
      <protection locked="0"/>
    </xf>
    <xf numFmtId="0" fontId="0" fillId="0" borderId="0" xfId="0" applyAlignment="1">
      <alignment horizontal="center"/>
    </xf>
    <xf numFmtId="0" fontId="0" fillId="0" borderId="25" xfId="0" applyBorder="1"/>
    <xf numFmtId="0" fontId="0" fillId="0" borderId="27" xfId="0" applyBorder="1"/>
    <xf numFmtId="0" fontId="0" fillId="0" borderId="55" xfId="0" applyBorder="1"/>
    <xf numFmtId="0" fontId="0" fillId="0" borderId="56" xfId="0" applyBorder="1"/>
    <xf numFmtId="0" fontId="0" fillId="0" borderId="57" xfId="0" applyBorder="1"/>
    <xf numFmtId="0" fontId="0" fillId="0" borderId="58" xfId="0" applyBorder="1"/>
    <xf numFmtId="0" fontId="0" fillId="0" borderId="59" xfId="0" applyBorder="1"/>
    <xf numFmtId="0" fontId="0" fillId="0" borderId="30" xfId="0" applyBorder="1"/>
    <xf numFmtId="0" fontId="0" fillId="0" borderId="60" xfId="0" applyBorder="1"/>
    <xf numFmtId="0" fontId="0" fillId="0" borderId="61" xfId="0" applyBorder="1"/>
    <xf numFmtId="0" fontId="0" fillId="2" borderId="27" xfId="0" applyFill="1" applyBorder="1"/>
    <xf numFmtId="0" fontId="0" fillId="2" borderId="28" xfId="0" applyFill="1" applyBorder="1"/>
    <xf numFmtId="0" fontId="0" fillId="2" borderId="29" xfId="0" applyFill="1" applyBorder="1"/>
    <xf numFmtId="0" fontId="0" fillId="0" borderId="46" xfId="0" applyBorder="1"/>
    <xf numFmtId="0" fontId="0" fillId="0" borderId="52" xfId="0" applyBorder="1"/>
    <xf numFmtId="0" fontId="0" fillId="0" borderId="62" xfId="0" applyBorder="1"/>
    <xf numFmtId="0" fontId="27" fillId="4" borderId="0" xfId="0" applyFont="1" applyFill="1"/>
    <xf numFmtId="0" fontId="3" fillId="7" borderId="52" xfId="0" applyFont="1" applyFill="1" applyBorder="1" applyAlignment="1">
      <alignment horizontal="center"/>
    </xf>
    <xf numFmtId="0" fontId="3" fillId="7" borderId="53" xfId="0" applyFont="1" applyFill="1" applyBorder="1" applyAlignment="1">
      <alignment horizontal="center"/>
    </xf>
    <xf numFmtId="0" fontId="3" fillId="7" borderId="54" xfId="0" applyFont="1" applyFill="1" applyBorder="1" applyAlignment="1">
      <alignment horizontal="center"/>
    </xf>
    <xf numFmtId="0" fontId="0" fillId="2" borderId="66" xfId="0" applyFill="1" applyBorder="1"/>
    <xf numFmtId="14" fontId="0" fillId="3" borderId="30" xfId="0" applyNumberFormat="1" applyFill="1" applyBorder="1" applyProtection="1">
      <protection locked="0"/>
    </xf>
    <xf numFmtId="44" fontId="0" fillId="3" borderId="31" xfId="0" applyNumberFormat="1" applyFill="1" applyBorder="1" applyProtection="1">
      <protection locked="0"/>
    </xf>
    <xf numFmtId="44" fontId="0" fillId="3" borderId="24" xfId="0" applyNumberFormat="1" applyFill="1" applyBorder="1" applyProtection="1">
      <protection locked="0"/>
    </xf>
    <xf numFmtId="0" fontId="0" fillId="0" borderId="31" xfId="0" applyBorder="1" applyProtection="1">
      <protection locked="0"/>
    </xf>
    <xf numFmtId="44" fontId="0" fillId="0" borderId="24" xfId="0" applyNumberFormat="1" applyBorder="1" applyProtection="1">
      <protection locked="0"/>
    </xf>
    <xf numFmtId="14" fontId="0" fillId="3" borderId="51" xfId="0" applyNumberFormat="1" applyFill="1" applyBorder="1" applyProtection="1">
      <protection locked="0"/>
    </xf>
    <xf numFmtId="0" fontId="0" fillId="3" borderId="43" xfId="0" applyFill="1" applyBorder="1" applyProtection="1">
      <protection locked="0"/>
    </xf>
    <xf numFmtId="44" fontId="0" fillId="3" borderId="28" xfId="0" applyNumberFormat="1" applyFill="1" applyBorder="1" applyProtection="1">
      <protection locked="0"/>
    </xf>
    <xf numFmtId="0" fontId="0" fillId="2" borderId="67" xfId="0" applyFill="1" applyBorder="1"/>
    <xf numFmtId="0" fontId="0" fillId="2" borderId="44" xfId="0" applyFill="1" applyBorder="1"/>
    <xf numFmtId="0" fontId="0" fillId="0" borderId="44" xfId="0" applyBorder="1"/>
    <xf numFmtId="0" fontId="5" fillId="6" borderId="0" xfId="0" applyFont="1" applyFill="1" applyAlignment="1">
      <alignment horizontal="center"/>
    </xf>
    <xf numFmtId="0" fontId="0" fillId="6" borderId="0" xfId="0" applyFill="1" applyAlignment="1">
      <alignment horizontal="center"/>
    </xf>
    <xf numFmtId="0" fontId="0" fillId="2" borderId="20" xfId="0" applyFill="1" applyBorder="1" applyAlignment="1">
      <alignment horizontal="center"/>
    </xf>
    <xf numFmtId="0" fontId="0" fillId="2" borderId="21" xfId="0" applyFill="1" applyBorder="1" applyAlignment="1">
      <alignment horizontal="center"/>
    </xf>
    <xf numFmtId="0" fontId="4" fillId="4" borderId="0" xfId="0" applyFont="1" applyFill="1" applyAlignment="1">
      <alignment horizontal="left"/>
    </xf>
    <xf numFmtId="0" fontId="0" fillId="4" borderId="0" xfId="0" applyFill="1" applyAlignment="1">
      <alignment horizontal="left" vertical="top"/>
    </xf>
    <xf numFmtId="0" fontId="0" fillId="11" borderId="20" xfId="0" applyFill="1" applyBorder="1" applyAlignment="1">
      <alignment horizontal="left" vertical="center"/>
    </xf>
    <xf numFmtId="0" fontId="0" fillId="11" borderId="22" xfId="0" applyFill="1" applyBorder="1" applyAlignment="1">
      <alignment horizontal="left" vertical="center"/>
    </xf>
    <xf numFmtId="0" fontId="0" fillId="11" borderId="21" xfId="0" applyFill="1" applyBorder="1" applyAlignment="1">
      <alignment horizontal="left" vertical="center"/>
    </xf>
    <xf numFmtId="0" fontId="3" fillId="7" borderId="20" xfId="0" applyFont="1" applyFill="1" applyBorder="1" applyAlignment="1">
      <alignment horizontal="left"/>
    </xf>
    <xf numFmtId="0" fontId="3" fillId="7" borderId="23" xfId="0" applyFont="1" applyFill="1" applyBorder="1" applyAlignment="1">
      <alignment horizontal="left"/>
    </xf>
    <xf numFmtId="165" fontId="9" fillId="10" borderId="12" xfId="4" applyFont="1" applyFill="1" applyBorder="1" applyAlignment="1">
      <alignment horizontal="center"/>
    </xf>
    <xf numFmtId="165" fontId="9" fillId="10" borderId="13" xfId="4" applyFont="1" applyFill="1" applyBorder="1" applyAlignment="1">
      <alignment horizontal="center"/>
    </xf>
    <xf numFmtId="165" fontId="9" fillId="10" borderId="14" xfId="4" applyFont="1" applyFill="1" applyBorder="1" applyAlignment="1">
      <alignment horizontal="center"/>
    </xf>
    <xf numFmtId="165" fontId="9" fillId="10" borderId="15" xfId="4" applyFont="1" applyFill="1" applyBorder="1" applyAlignment="1">
      <alignment horizontal="center"/>
    </xf>
    <xf numFmtId="165" fontId="9" fillId="10" borderId="0" xfId="4" applyFont="1" applyFill="1" applyAlignment="1">
      <alignment horizontal="center"/>
    </xf>
    <xf numFmtId="165" fontId="9" fillId="10" borderId="16" xfId="4" applyFont="1" applyFill="1" applyBorder="1" applyAlignment="1">
      <alignment horizontal="center"/>
    </xf>
    <xf numFmtId="165" fontId="9" fillId="10" borderId="17" xfId="4" applyFont="1" applyFill="1" applyBorder="1" applyAlignment="1">
      <alignment horizontal="center"/>
    </xf>
    <xf numFmtId="165" fontId="9" fillId="10" borderId="18" xfId="4" applyFont="1" applyFill="1" applyBorder="1" applyAlignment="1">
      <alignment horizontal="center"/>
    </xf>
    <xf numFmtId="165" fontId="9" fillId="10" borderId="19" xfId="4" applyFont="1" applyFill="1" applyBorder="1" applyAlignment="1">
      <alignment horizontal="center"/>
    </xf>
    <xf numFmtId="0" fontId="18" fillId="6" borderId="39" xfId="5" applyFont="1" applyFill="1" applyBorder="1" applyAlignment="1">
      <alignment horizontal="left"/>
    </xf>
    <xf numFmtId="0" fontId="9" fillId="10" borderId="13" xfId="5" applyFont="1" applyFill="1" applyBorder="1" applyAlignment="1">
      <alignment vertical="top"/>
    </xf>
    <xf numFmtId="0" fontId="9" fillId="10" borderId="14" xfId="5" applyFont="1" applyFill="1" applyBorder="1" applyAlignment="1">
      <alignment vertical="top"/>
    </xf>
    <xf numFmtId="0" fontId="9" fillId="10" borderId="0" xfId="5" applyFont="1" applyFill="1" applyBorder="1" applyAlignment="1">
      <alignment vertical="top"/>
    </xf>
    <xf numFmtId="0" fontId="9" fillId="10" borderId="16" xfId="5" applyFont="1" applyFill="1" applyBorder="1" applyAlignment="1">
      <alignment vertical="top"/>
    </xf>
    <xf numFmtId="0" fontId="9" fillId="10" borderId="18" xfId="5" applyFont="1" applyFill="1" applyBorder="1" applyAlignment="1">
      <alignment vertical="top"/>
    </xf>
    <xf numFmtId="0" fontId="9" fillId="10" borderId="19" xfId="5" applyFont="1" applyFill="1" applyBorder="1" applyAlignment="1">
      <alignment vertical="top"/>
    </xf>
    <xf numFmtId="0" fontId="18" fillId="6" borderId="0" xfId="7" applyFont="1" applyFill="1" applyBorder="1" applyAlignment="1"/>
    <xf numFmtId="0" fontId="0" fillId="10" borderId="0" xfId="0" applyFill="1" applyAlignment="1">
      <alignment horizontal="left"/>
    </xf>
    <xf numFmtId="0" fontId="4" fillId="10" borderId="0" xfId="0" applyFont="1" applyFill="1" applyAlignment="1">
      <alignment horizontal="left"/>
    </xf>
    <xf numFmtId="0" fontId="0" fillId="11" borderId="45" xfId="0" applyFill="1" applyBorder="1" applyAlignment="1">
      <alignment horizontal="center"/>
    </xf>
    <xf numFmtId="0" fontId="0" fillId="11" borderId="46" xfId="0" applyFill="1" applyBorder="1" applyAlignment="1">
      <alignment horizontal="center"/>
    </xf>
    <xf numFmtId="0" fontId="0" fillId="8" borderId="44" xfId="0" applyFill="1" applyBorder="1" applyAlignment="1">
      <alignment horizontal="center"/>
    </xf>
    <xf numFmtId="0" fontId="0" fillId="8" borderId="45" xfId="0" applyFill="1" applyBorder="1" applyAlignment="1">
      <alignment horizontal="center"/>
    </xf>
    <xf numFmtId="0" fontId="0" fillId="10" borderId="44" xfId="0" applyFill="1" applyBorder="1" applyAlignment="1">
      <alignment horizontal="center"/>
    </xf>
    <xf numFmtId="0" fontId="0" fillId="10" borderId="45" xfId="0" applyFill="1" applyBorder="1" applyAlignment="1">
      <alignment horizontal="center"/>
    </xf>
    <xf numFmtId="0" fontId="0" fillId="10" borderId="46" xfId="0" applyFill="1" applyBorder="1" applyAlignment="1">
      <alignment horizontal="center"/>
    </xf>
    <xf numFmtId="0" fontId="0" fillId="4" borderId="0" xfId="0" applyFill="1" applyAlignment="1">
      <alignment horizontal="left"/>
    </xf>
    <xf numFmtId="0" fontId="0" fillId="4" borderId="0" xfId="0" applyFill="1" applyAlignment="1">
      <alignment horizontal="center"/>
    </xf>
    <xf numFmtId="0" fontId="4" fillId="15" borderId="0" xfId="0" applyFont="1" applyFill="1" applyAlignment="1">
      <alignment horizontal="left"/>
    </xf>
    <xf numFmtId="0" fontId="0" fillId="15" borderId="9" xfId="0" applyFill="1" applyBorder="1" applyAlignment="1">
      <alignment horizontal="center"/>
    </xf>
    <xf numFmtId="44" fontId="0" fillId="3" borderId="20" xfId="0" applyNumberFormat="1" applyFill="1" applyBorder="1" applyAlignment="1">
      <alignment horizontal="center"/>
    </xf>
    <xf numFmtId="44" fontId="0" fillId="3" borderId="21" xfId="0" applyNumberFormat="1" applyFill="1" applyBorder="1" applyAlignment="1">
      <alignment horizontal="center"/>
    </xf>
    <xf numFmtId="0" fontId="0" fillId="15" borderId="0" xfId="0" applyFill="1" applyAlignment="1">
      <alignment wrapText="1"/>
    </xf>
    <xf numFmtId="44" fontId="9" fillId="5" borderId="20" xfId="1" applyFont="1" applyFill="1" applyBorder="1" applyAlignment="1">
      <alignment horizontal="center"/>
    </xf>
    <xf numFmtId="44" fontId="9" fillId="5" borderId="21" xfId="1" applyFont="1" applyFill="1" applyBorder="1" applyAlignment="1">
      <alignment horizontal="center"/>
    </xf>
    <xf numFmtId="0" fontId="16" fillId="4" borderId="0" xfId="0" applyFont="1" applyFill="1" applyAlignment="1">
      <alignment horizontal="left"/>
    </xf>
    <xf numFmtId="0" fontId="16" fillId="2" borderId="0" xfId="0" applyFont="1" applyFill="1" applyAlignment="1">
      <alignment horizontal="left"/>
    </xf>
    <xf numFmtId="44" fontId="9" fillId="3" borderId="20" xfId="1" applyFont="1" applyFill="1" applyBorder="1" applyAlignment="1" applyProtection="1">
      <alignment horizontal="center"/>
      <protection locked="0"/>
    </xf>
    <xf numFmtId="44" fontId="9" fillId="3" borderId="21" xfId="1" applyFont="1" applyFill="1" applyBorder="1" applyAlignment="1" applyProtection="1">
      <alignment horizontal="center"/>
      <protection locked="0"/>
    </xf>
    <xf numFmtId="44" fontId="9" fillId="3" borderId="20" xfId="1" applyFont="1" applyFill="1" applyBorder="1" applyAlignment="1">
      <alignment horizontal="center"/>
    </xf>
    <xf numFmtId="44" fontId="9" fillId="3" borderId="21" xfId="1" applyFont="1" applyFill="1" applyBorder="1" applyAlignment="1">
      <alignment horizontal="center"/>
    </xf>
    <xf numFmtId="44" fontId="9" fillId="3" borderId="3" xfId="1" applyFont="1" applyFill="1" applyBorder="1" applyAlignment="1" applyProtection="1">
      <alignment horizontal="center"/>
      <protection locked="0"/>
    </xf>
    <xf numFmtId="44" fontId="9" fillId="3" borderId="5" xfId="1" applyFont="1" applyFill="1" applyBorder="1" applyAlignment="1" applyProtection="1">
      <alignment horizontal="center"/>
      <protection locked="0"/>
    </xf>
    <xf numFmtId="44" fontId="9" fillId="11" borderId="20" xfId="0" applyNumberFormat="1" applyFont="1" applyFill="1" applyBorder="1" applyAlignment="1">
      <alignment horizontal="center"/>
    </xf>
    <xf numFmtId="0" fontId="9" fillId="11" borderId="21" xfId="0" applyFont="1" applyFill="1" applyBorder="1" applyAlignment="1">
      <alignment horizontal="center"/>
    </xf>
    <xf numFmtId="0" fontId="3" fillId="7" borderId="63" xfId="0" applyFont="1" applyFill="1" applyBorder="1" applyAlignment="1">
      <alignment horizontal="center"/>
    </xf>
    <xf numFmtId="0" fontId="3" fillId="7" borderId="64" xfId="0" applyFont="1" applyFill="1" applyBorder="1" applyAlignment="1">
      <alignment horizontal="center"/>
    </xf>
    <xf numFmtId="0" fontId="3" fillId="7" borderId="65" xfId="0" applyFont="1" applyFill="1" applyBorder="1" applyAlignment="1">
      <alignment horizontal="center"/>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52" xfId="0" applyFont="1" applyFill="1" applyBorder="1" applyAlignment="1">
      <alignment horizontal="center"/>
    </xf>
    <xf numFmtId="0" fontId="3" fillId="7" borderId="53" xfId="0" applyFont="1" applyFill="1" applyBorder="1" applyAlignment="1">
      <alignment horizontal="center"/>
    </xf>
    <xf numFmtId="0" fontId="3" fillId="7" borderId="54" xfId="0" applyFont="1" applyFill="1" applyBorder="1" applyAlignment="1">
      <alignment horizontal="center"/>
    </xf>
    <xf numFmtId="0" fontId="9" fillId="2" borderId="0" xfId="0" applyFont="1" applyFill="1" applyBorder="1"/>
    <xf numFmtId="0" fontId="0" fillId="2" borderId="0" xfId="0" applyFill="1" applyBorder="1"/>
    <xf numFmtId="0" fontId="0" fillId="0" borderId="0" xfId="0" applyBorder="1"/>
    <xf numFmtId="44" fontId="0" fillId="2" borderId="0" xfId="0" applyNumberFormat="1" applyFill="1"/>
    <xf numFmtId="0" fontId="9" fillId="10" borderId="18" xfId="5" applyFont="1" applyFill="1" applyBorder="1" applyAlignment="1">
      <alignment vertical="top" wrapText="1"/>
    </xf>
    <xf numFmtId="0" fontId="9" fillId="10" borderId="42" xfId="5" applyFont="1" applyFill="1" applyBorder="1" applyAlignment="1">
      <alignment vertical="top" wrapText="1"/>
    </xf>
    <xf numFmtId="0" fontId="9" fillId="6" borderId="15" xfId="6" quotePrefix="1" applyFont="1" applyFill="1" applyBorder="1" applyAlignment="1">
      <alignment horizontal="center" vertical="center"/>
    </xf>
    <xf numFmtId="0" fontId="9" fillId="6" borderId="16" xfId="6" quotePrefix="1" applyFont="1" applyFill="1" applyBorder="1" applyAlignment="1">
      <alignment horizontal="center" vertical="center"/>
    </xf>
    <xf numFmtId="165" fontId="9" fillId="6" borderId="15" xfId="4" applyFont="1" applyFill="1" applyBorder="1">
      <alignment horizontal="left" indent="1"/>
    </xf>
    <xf numFmtId="0" fontId="19" fillId="6" borderId="15" xfId="6" applyFont="1" applyFill="1" applyBorder="1" applyAlignment="1">
      <alignment horizontal="left" vertical="top"/>
    </xf>
    <xf numFmtId="165" fontId="9" fillId="6" borderId="15" xfId="5" applyNumberFormat="1" applyFont="1" applyFill="1" applyBorder="1" applyAlignment="1">
      <alignment horizontal="left" vertical="top" wrapText="1"/>
    </xf>
    <xf numFmtId="164" fontId="0" fillId="5" borderId="51" xfId="0" applyNumberFormat="1" applyFill="1" applyBorder="1" applyAlignment="1">
      <alignment horizontal="left"/>
    </xf>
    <xf numFmtId="164" fontId="0" fillId="5" borderId="43" xfId="0" applyNumberFormat="1" applyFill="1" applyBorder="1" applyAlignment="1">
      <alignment horizontal="left"/>
    </xf>
    <xf numFmtId="0" fontId="0" fillId="5" borderId="43" xfId="0" applyFill="1" applyBorder="1"/>
    <xf numFmtId="0" fontId="3" fillId="10" borderId="52" xfId="0" applyFont="1" applyFill="1" applyBorder="1" applyAlignment="1">
      <alignment horizontal="center"/>
    </xf>
    <xf numFmtId="0" fontId="3" fillId="10" borderId="53" xfId="0" applyFont="1" applyFill="1" applyBorder="1" applyAlignment="1">
      <alignment horizontal="center"/>
    </xf>
    <xf numFmtId="0" fontId="3" fillId="10" borderId="54" xfId="0" applyFont="1" applyFill="1" applyBorder="1" applyAlignment="1">
      <alignment horizontal="center"/>
    </xf>
    <xf numFmtId="0" fontId="0" fillId="8" borderId="27" xfId="0" applyFill="1" applyBorder="1"/>
    <xf numFmtId="0" fontId="0" fillId="8" borderId="28" xfId="0" applyFill="1" applyBorder="1"/>
    <xf numFmtId="0" fontId="0" fillId="8" borderId="29" xfId="0" applyFill="1" applyBorder="1"/>
    <xf numFmtId="0" fontId="0" fillId="9" borderId="0" xfId="0" applyFill="1"/>
    <xf numFmtId="0" fontId="0" fillId="9" borderId="0" xfId="0" applyFill="1" applyAlignment="1">
      <alignment wrapText="1"/>
    </xf>
    <xf numFmtId="0" fontId="27" fillId="9" borderId="0" xfId="0" applyFont="1" applyFill="1" applyAlignment="1">
      <alignment wrapText="1"/>
    </xf>
    <xf numFmtId="0" fontId="0" fillId="8" borderId="27" xfId="0" applyFill="1" applyBorder="1" applyAlignment="1">
      <alignment wrapText="1"/>
    </xf>
    <xf numFmtId="0" fontId="0" fillId="0" borderId="30" xfId="0" applyBorder="1" applyAlignment="1">
      <alignment wrapText="1"/>
    </xf>
    <xf numFmtId="0" fontId="0" fillId="0" borderId="25" xfId="0" applyBorder="1" applyAlignment="1">
      <alignment wrapText="1"/>
    </xf>
    <xf numFmtId="0" fontId="0" fillId="0" borderId="27" xfId="0" applyBorder="1" applyAlignment="1">
      <alignment wrapText="1"/>
    </xf>
    <xf numFmtId="0" fontId="0" fillId="0" borderId="0" xfId="0" applyAlignment="1">
      <alignment wrapText="1"/>
    </xf>
    <xf numFmtId="0" fontId="0" fillId="9" borderId="0" xfId="0" applyFill="1" applyAlignment="1"/>
    <xf numFmtId="14" fontId="0" fillId="0" borderId="60" xfId="0" applyNumberFormat="1" applyBorder="1"/>
    <xf numFmtId="14" fontId="0" fillId="0" borderId="55" xfId="0" applyNumberFormat="1" applyBorder="1"/>
    <xf numFmtId="14" fontId="0" fillId="0" borderId="56" xfId="0" applyNumberFormat="1" applyBorder="1"/>
  </cellXfs>
  <cellStyles count="13">
    <cellStyle name="Banded" xfId="5" xr:uid="{38ECB362-5511-4593-A2F4-C30DB9BB71B8}"/>
    <cellStyle name="Currency" xfId="1" builtinId="4"/>
    <cellStyle name="Day" xfId="4" xr:uid="{1CFAF546-17AB-4A53-9360-DEEB9B13C66C}"/>
    <cellStyle name="Heading 1" xfId="3" builtinId="16"/>
    <cellStyle name="Heading 1 2" xfId="8" xr:uid="{395B28A9-13DE-49C8-BC67-5681BD14E315}"/>
    <cellStyle name="Heading 2 2" xfId="9" xr:uid="{6D40FE93-299B-4342-823E-E052ACD6EC02}"/>
    <cellStyle name="Heading 3 2" xfId="10" xr:uid="{3402C578-0057-4B6C-A46D-C153965652C3}"/>
    <cellStyle name="Heading 4 2" xfId="12" xr:uid="{C8414FFD-821A-4CE4-A83C-05DFD73476DF}"/>
    <cellStyle name="Normal" xfId="0" builtinId="0"/>
    <cellStyle name="Normal 2" xfId="6" xr:uid="{3457F65F-A86B-4473-89D2-8F2D9BDBB655}"/>
    <cellStyle name="Percent" xfId="2" builtinId="5"/>
    <cellStyle name="Settings Entry" xfId="11" xr:uid="{22B14A1D-2BFD-4A4D-9745-9B2E39158C41}"/>
    <cellStyle name="Title 2" xfId="7" xr:uid="{DF291947-DA08-4290-81EC-92BE90DC98C5}"/>
  </cellStyles>
  <dxfs count="24">
    <dxf>
      <font>
        <color theme="0" tint="-0.24994659260841701"/>
      </font>
    </dxf>
    <dxf>
      <font>
        <color theme="0" tint="-0.24994659260841701"/>
      </font>
    </dxf>
    <dxf>
      <font>
        <color theme="0" tint="-0.24994659260841701"/>
      </font>
    </dxf>
    <dxf>
      <font>
        <color theme="0" tint="-0.24994659260841701"/>
      </font>
    </dxf>
    <dxf>
      <font>
        <color theme="7" tint="-0.24994659260841701"/>
      </font>
      <fill>
        <patternFill>
          <bgColor theme="4" tint="0.59996337778862885"/>
        </patternFill>
      </fill>
      <border>
        <left style="thin">
          <color theme="6" tint="-0.499984740745262"/>
        </left>
        <right style="thin">
          <color theme="6" tint="-0.499984740745262"/>
        </right>
        <top style="thin">
          <color theme="6" tint="-0.499984740745262"/>
        </top>
        <bottom style="thin">
          <color theme="6" tint="-0.499984740745262"/>
        </bottom>
        <vertical/>
        <horizontal/>
      </border>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ill>
        <patternFill patternType="solid">
          <fgColor indexed="64"/>
          <bgColor theme="0"/>
        </patternFill>
      </fill>
      <border diagonalUp="0" diagonalDown="0">
        <left style="thin">
          <color theme="6" tint="-0.499984740745262"/>
        </left>
        <right style="thin">
          <color theme="6" tint="-0.499984740745262"/>
        </right>
        <top style="thin">
          <color theme="6" tint="-0.499984740745262"/>
        </top>
        <bottom style="thin">
          <color theme="6" tint="-0.499984740745262"/>
        </bottom>
      </border>
      <protection locked="0" hidden="0"/>
    </dxf>
    <dxf>
      <fill>
        <patternFill patternType="solid">
          <fgColor indexed="64"/>
          <bgColor theme="0"/>
        </patternFill>
      </fill>
      <border diagonalUp="0" diagonalDown="0">
        <left style="thin">
          <color theme="6" tint="-0.499984740745262"/>
        </left>
        <right style="thin">
          <color theme="6" tint="-0.499984740745262"/>
        </right>
        <top style="thin">
          <color theme="6" tint="-0.499984740745262"/>
        </top>
        <bottom style="thin">
          <color theme="6" tint="-0.499984740745262"/>
        </bottom>
      </border>
      <protection locked="0" hidden="0"/>
    </dxf>
    <dxf>
      <fill>
        <patternFill patternType="solid">
          <fgColor indexed="64"/>
          <bgColor theme="0"/>
        </patternFill>
      </fill>
      <border diagonalUp="0" diagonalDown="0">
        <left style="thin">
          <color theme="6" tint="-0.499984740745262"/>
        </left>
        <right style="thin">
          <color theme="6" tint="-0.499984740745262"/>
        </right>
        <top style="thin">
          <color theme="6" tint="-0.499984740745262"/>
        </top>
        <bottom style="thin">
          <color theme="6" tint="-0.499984740745262"/>
        </bottom>
      </border>
      <protection locked="0" hidden="0"/>
    </dxf>
    <dxf>
      <fill>
        <patternFill patternType="solid">
          <fgColor indexed="64"/>
          <bgColor theme="0"/>
        </patternFill>
      </fill>
      <border diagonalUp="0" diagonalDown="0">
        <left style="thin">
          <color theme="6" tint="-0.499984740745262"/>
        </left>
        <right style="thin">
          <color theme="6" tint="-0.499984740745262"/>
        </right>
        <top style="thin">
          <color theme="6" tint="-0.499984740745262"/>
        </top>
        <bottom style="thin">
          <color theme="6" tint="-0.499984740745262"/>
        </bottom>
      </border>
      <protection locked="0" hidden="0"/>
    </dxf>
    <dxf>
      <fill>
        <patternFill patternType="solid">
          <fgColor indexed="64"/>
          <bgColor theme="5" tint="0.59999389629810485"/>
        </patternFill>
      </fill>
      <border diagonalUp="0" diagonalDown="0" outline="0">
        <left style="thin">
          <color theme="6" tint="-0.499984740745262"/>
        </left>
        <right style="thin">
          <color theme="6" tint="-0.499984740745262"/>
        </right>
        <top style="thin">
          <color theme="6" tint="-0.499984740745262"/>
        </top>
        <bottom style="thin">
          <color theme="6" tint="-0.499984740745262"/>
        </bottom>
      </border>
    </dxf>
    <dxf>
      <fill>
        <patternFill patternType="solid">
          <fgColor indexed="64"/>
          <bgColor theme="5" tint="0.79998168889431442"/>
        </patternFill>
      </fill>
      <border diagonalUp="0" diagonalDown="0" outline="0">
        <left style="thin">
          <color theme="6" tint="-0.499984740745262"/>
        </left>
        <right style="thin">
          <color theme="6" tint="-0.499984740745262"/>
        </right>
        <top style="thin">
          <color theme="6" tint="-0.499984740745262"/>
        </top>
        <bottom style="thin">
          <color theme="6" tint="-0.499984740745262"/>
        </bottom>
      </border>
    </dxf>
    <dxf>
      <fill>
        <patternFill patternType="solid">
          <fgColor indexed="64"/>
          <bgColor theme="5" tint="0.59999389629810485"/>
        </patternFill>
      </fill>
      <border diagonalUp="0" diagonalDown="0" outline="0">
        <left style="thin">
          <color theme="6" tint="-0.499984740745262"/>
        </left>
        <right style="thin">
          <color theme="6" tint="-0.499984740745262"/>
        </right>
        <top style="thin">
          <color theme="6" tint="-0.499984740745262"/>
        </top>
        <bottom style="thin">
          <color theme="6" tint="-0.499984740745262"/>
        </bottom>
      </border>
    </dxf>
    <dxf>
      <numFmt numFmtId="164" formatCode="[$-F800]dddd\,\ mmmm\ dd\,\ yyyy"/>
      <fill>
        <patternFill patternType="solid">
          <fgColor indexed="64"/>
          <bgColor theme="5" tint="0.79998168889431442"/>
        </patternFill>
      </fill>
      <alignment horizontal="left" vertical="bottom" textRotation="0" wrapText="0" indent="0" justifyLastLine="0" shrinkToFit="0" readingOrder="0"/>
      <border diagonalUp="0" diagonalDown="0" outline="0">
        <left style="thin">
          <color theme="6" tint="-0.499984740745262"/>
        </left>
        <right style="thin">
          <color theme="6" tint="-0.499984740745262"/>
        </right>
        <top style="thin">
          <color theme="6" tint="-0.499984740745262"/>
        </top>
        <bottom style="thin">
          <color theme="6" tint="-0.499984740745262"/>
        </bottom>
      </border>
    </dxf>
    <dxf>
      <border outline="0">
        <left style="medium">
          <color theme="6" tint="-0.499984740745262"/>
        </left>
        <right style="medium">
          <color theme="6" tint="-0.499984740745262"/>
        </right>
        <top style="medium">
          <color theme="6" tint="-0.499984740745262"/>
        </top>
      </border>
    </dxf>
    <dxf>
      <border outline="0">
        <bottom style="medium">
          <color theme="6" tint="-0.499984740745262"/>
        </bottom>
      </border>
    </dxf>
    <dxf>
      <font>
        <strike val="0"/>
        <outline val="0"/>
        <shadow val="0"/>
        <u val="none"/>
        <vertAlign val="baseline"/>
        <sz val="11"/>
        <color auto="1"/>
        <name val="Calibri"/>
        <family val="2"/>
        <scheme val="minor"/>
      </font>
      <fill>
        <patternFill patternType="solid">
          <fgColor indexed="64"/>
          <bgColor theme="6" tint="-9.9978637043366805E-2"/>
        </patternFill>
      </fill>
      <border diagonalUp="0" diagonalDown="0" outline="0">
        <left style="medium">
          <color theme="6" tint="-0.499984740745262"/>
        </left>
        <right style="medium">
          <color theme="6" tint="-0.499984740745262"/>
        </right>
        <top/>
        <bottom/>
      </border>
    </dxf>
  </dxfs>
  <tableStyles count="0" defaultTableStyle="TableStyleMedium2" defaultPivotStyle="PivotStyleLight16"/>
  <colors>
    <mruColors>
      <color rgb="FF99CCFF"/>
      <color rgb="FFFF9999"/>
      <color rgb="FFF0A2A2"/>
      <color rgb="FFFF7C80"/>
      <color rgb="FFFF9966"/>
      <color rgb="FFFF99FF"/>
      <color rgb="FFA9CF92"/>
      <color rgb="FFFCFF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barChart>
        <c:barDir val="bar"/>
        <c:grouping val="clustered"/>
        <c:varyColors val="0"/>
        <c:ser>
          <c:idx val="0"/>
          <c:order val="0"/>
          <c:tx>
            <c:v>Costs</c:v>
          </c:tx>
          <c:spPr>
            <a:solidFill>
              <a:schemeClr val="accent6"/>
            </a:solidFill>
            <a:ln w="57150">
              <a:noFill/>
            </a:ln>
            <a:effectLst>
              <a:outerShdw blurRad="50800" dist="76200" dir="5400000" algn="ctr" rotWithShape="0">
                <a:srgbClr val="000000">
                  <a:alpha val="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 Accomodations'!$D$7:$D$18</c:f>
              <c:strCache>
                <c:ptCount val="12"/>
                <c:pt idx="0">
                  <c:v>Barcelona, Spain</c:v>
                </c:pt>
                <c:pt idx="1">
                  <c:v>Mallorca, Spain</c:v>
                </c:pt>
                <c:pt idx="2">
                  <c:v>Ibiza, Spain</c:v>
                </c:pt>
                <c:pt idx="3">
                  <c:v>Barcelona, Spain</c:v>
                </c:pt>
                <c:pt idx="4">
                  <c:v> </c:v>
                </c:pt>
                <c:pt idx="5">
                  <c:v> </c:v>
                </c:pt>
                <c:pt idx="6">
                  <c:v> </c:v>
                </c:pt>
                <c:pt idx="7">
                  <c:v> </c:v>
                </c:pt>
                <c:pt idx="8">
                  <c:v> </c:v>
                </c:pt>
                <c:pt idx="9">
                  <c:v> </c:v>
                </c:pt>
                <c:pt idx="10">
                  <c:v> </c:v>
                </c:pt>
                <c:pt idx="11">
                  <c:v> </c:v>
                </c:pt>
              </c:strCache>
            </c:strRef>
          </c:cat>
          <c:val>
            <c:numRef>
              <c:f>'#2 Accomodations'!$I$7:$I$18</c:f>
              <c:numCache>
                <c:formatCode>_("$"* #,##0.00_);_("$"* \(#,##0.00\);_("$"* "-"??_);_(@_)</c:formatCode>
                <c:ptCount val="12"/>
                <c:pt idx="0">
                  <c:v>50</c:v>
                </c:pt>
                <c:pt idx="1">
                  <c:v>220</c:v>
                </c:pt>
              </c:numCache>
            </c:numRef>
          </c:val>
          <c:extLst>
            <c:ext xmlns:c16="http://schemas.microsoft.com/office/drawing/2014/chart" uri="{C3380CC4-5D6E-409C-BE32-E72D297353CC}">
              <c16:uniqueId val="{00000000-1ABC-4476-84B4-14EF65B2BC31}"/>
            </c:ext>
          </c:extLst>
        </c:ser>
        <c:dLbls>
          <c:showLegendKey val="0"/>
          <c:showVal val="0"/>
          <c:showCatName val="0"/>
          <c:showSerName val="0"/>
          <c:showPercent val="0"/>
          <c:showBubbleSize val="0"/>
        </c:dLbls>
        <c:gapWidth val="65"/>
        <c:axId val="1394170352"/>
        <c:axId val="1394172016"/>
        <c:extLst>
          <c:ext xmlns:c15="http://schemas.microsoft.com/office/drawing/2012/chart" uri="{02D57815-91ED-43cb-92C2-25804820EDAC}">
            <c15:filteredBarSeries>
              <c15:ser>
                <c:idx val="1"/>
                <c:order val="1"/>
                <c:tx>
                  <c:v>Days</c:v>
                </c:tx>
                <c:spPr>
                  <a:solidFill>
                    <a:schemeClr val="accent5"/>
                  </a:solidFill>
                  <a:ln>
                    <a:noFill/>
                  </a:ln>
                  <a:effectLst/>
                </c:spPr>
                <c:invertIfNegative val="0"/>
                <c:val>
                  <c:numRef>
                    <c:extLst>
                      <c:ext uri="{02D57815-91ED-43cb-92C2-25804820EDAC}">
                        <c15:formulaRef>
                          <c15:sqref>'#2 Accomodations'!$E$7:$E$18</c15:sqref>
                        </c15:formulaRef>
                      </c:ext>
                    </c:extLst>
                    <c:numCache>
                      <c:formatCode>General</c:formatCode>
                      <c:ptCount val="12"/>
                      <c:pt idx="0">
                        <c:v>2</c:v>
                      </c:pt>
                      <c:pt idx="1">
                        <c:v>4</c:v>
                      </c:pt>
                      <c:pt idx="2">
                        <c:v>2</c:v>
                      </c:pt>
                      <c:pt idx="3">
                        <c:v>1</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1ABC-4476-84B4-14EF65B2BC31}"/>
                  </c:ext>
                </c:extLst>
              </c15:ser>
            </c15:filteredBarSeries>
          </c:ext>
        </c:extLst>
      </c:barChart>
      <c:catAx>
        <c:axId val="1394170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94172016"/>
        <c:crosses val="autoZero"/>
        <c:auto val="1"/>
        <c:lblAlgn val="ctr"/>
        <c:lblOffset val="100"/>
        <c:noMultiLvlLbl val="0"/>
      </c:catAx>
      <c:valAx>
        <c:axId val="1394172016"/>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94170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v>Days</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C6-4CB0-9F8B-56BF71E131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FF5C-4592-AFD8-C76E867713B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AC6-4CB0-9F8B-56BF71E131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AC6-4CB0-9F8B-56BF71E131D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AC6-4CB0-9F8B-56BF71E131D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AC6-4CB0-9F8B-56BF71E131D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AC6-4CB0-9F8B-56BF71E131D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AC6-4CB0-9F8B-56BF71E131D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AC6-4CB0-9F8B-56BF71E131D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AC6-4CB0-9F8B-56BF71E131D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AC6-4CB0-9F8B-56BF71E131D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AC6-4CB0-9F8B-56BF71E131D8}"/>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Trip Dreaming'!$M$6:$M$17</c:f>
              <c:strCache>
                <c:ptCount val="12"/>
                <c:pt idx="0">
                  <c:v>Barcelona, Spain</c:v>
                </c:pt>
                <c:pt idx="1">
                  <c:v>Mallorca, Spain</c:v>
                </c:pt>
                <c:pt idx="2">
                  <c:v>Ibiza, Spain</c:v>
                </c:pt>
                <c:pt idx="3">
                  <c:v>Barcelona, Spain</c:v>
                </c:pt>
                <c:pt idx="4">
                  <c:v> </c:v>
                </c:pt>
                <c:pt idx="5">
                  <c:v> </c:v>
                </c:pt>
                <c:pt idx="6">
                  <c:v> </c:v>
                </c:pt>
                <c:pt idx="7">
                  <c:v> </c:v>
                </c:pt>
                <c:pt idx="8">
                  <c:v> </c:v>
                </c:pt>
                <c:pt idx="9">
                  <c:v> </c:v>
                </c:pt>
                <c:pt idx="10">
                  <c:v> </c:v>
                </c:pt>
                <c:pt idx="11">
                  <c:v> </c:v>
                </c:pt>
              </c:strCache>
            </c:strRef>
          </c:cat>
          <c:val>
            <c:numRef>
              <c:f>'#1 Trip Dreaming'!$N$6:$N$17</c:f>
              <c:numCache>
                <c:formatCode>General</c:formatCode>
                <c:ptCount val="12"/>
                <c:pt idx="0">
                  <c:v>2</c:v>
                </c:pt>
                <c:pt idx="1">
                  <c:v>4</c:v>
                </c:pt>
                <c:pt idx="2">
                  <c:v>2</c:v>
                </c:pt>
                <c:pt idx="3">
                  <c:v>1</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FF5C-4592-AFD8-C76E867713B2}"/>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Budget</a:t>
            </a:r>
            <a:r>
              <a:rPr lang="en-US" b="1" baseline="0">
                <a:solidFill>
                  <a:sysClr val="windowText" lastClr="000000"/>
                </a:solidFill>
              </a:rPr>
              <a:t> Overview</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3"/>
              </a:solidFill>
              <a:ln w="19050">
                <a:solidFill>
                  <a:schemeClr val="lt1"/>
                </a:solidFill>
              </a:ln>
              <a:effectLst/>
            </c:spPr>
          </c:dPt>
          <c:dPt>
            <c:idx val="2"/>
            <c:bubble3D val="0"/>
            <c:spPr>
              <a:solidFill>
                <a:schemeClr val="accent5"/>
              </a:solidFill>
              <a:ln w="19050">
                <a:solidFill>
                  <a:schemeClr val="lt1"/>
                </a:solidFill>
              </a:ln>
              <a:effectLst/>
            </c:spPr>
          </c:dPt>
          <c:dPt>
            <c:idx val="3"/>
            <c:bubble3D val="0"/>
            <c:spPr>
              <a:solidFill>
                <a:schemeClr val="accent1">
                  <a:lumMod val="60000"/>
                </a:schemeClr>
              </a:solidFill>
              <a:ln w="19050">
                <a:solidFill>
                  <a:schemeClr val="lt1"/>
                </a:solidFill>
              </a:ln>
              <a:effectLst/>
            </c:spPr>
          </c:dPt>
          <c:dPt>
            <c:idx val="4"/>
            <c:bubble3D val="0"/>
            <c:spPr>
              <a:solidFill>
                <a:schemeClr val="accent3">
                  <a:lumMod val="60000"/>
                </a:schemeClr>
              </a:solidFill>
              <a:ln w="19050">
                <a:solidFill>
                  <a:schemeClr val="lt1"/>
                </a:solidFill>
              </a:ln>
              <a:effectLst/>
            </c:spPr>
          </c:dPt>
          <c:dPt>
            <c:idx val="5"/>
            <c:bubble3D val="0"/>
            <c:spPr>
              <a:solidFill>
                <a:schemeClr val="accent5">
                  <a:lumMod val="60000"/>
                </a:schemeClr>
              </a:solidFill>
              <a:ln w="19050">
                <a:solidFill>
                  <a:schemeClr val="lt1"/>
                </a:solidFill>
              </a:ln>
              <a:effectLst/>
            </c:spPr>
          </c:dPt>
          <c:dPt>
            <c:idx val="6"/>
            <c:bubble3D val="0"/>
            <c:spPr>
              <a:solidFill>
                <a:schemeClr val="accent1">
                  <a:lumMod val="80000"/>
                  <a:lumOff val="2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'#4 Building a Budget'!$Z$6:$Z$12</c:f>
              <c:strCache>
                <c:ptCount val="7"/>
                <c:pt idx="0">
                  <c:v>Travel</c:v>
                </c:pt>
                <c:pt idx="1">
                  <c:v>Accomodations</c:v>
                </c:pt>
                <c:pt idx="2">
                  <c:v>Food</c:v>
                </c:pt>
                <c:pt idx="3">
                  <c:v>Activities</c:v>
                </c:pt>
                <c:pt idx="4">
                  <c:v>Spending Money</c:v>
                </c:pt>
                <c:pt idx="5">
                  <c:v>Safety Money</c:v>
                </c:pt>
                <c:pt idx="6">
                  <c:v>Leftover Budget</c:v>
                </c:pt>
              </c:strCache>
            </c:strRef>
          </c:cat>
          <c:val>
            <c:numRef>
              <c:f>'#4 Building a Budget'!$AA$6:$AA$12</c:f>
              <c:numCache>
                <c:formatCode>_("$"* #,##0.00_);_("$"* \(#,##0.00\);_("$"* "-"??_);_(@_)</c:formatCode>
                <c:ptCount val="7"/>
                <c:pt idx="0">
                  <c:v>1560</c:v>
                </c:pt>
                <c:pt idx="1">
                  <c:v>270</c:v>
                </c:pt>
                <c:pt idx="2">
                  <c:v>135</c:v>
                </c:pt>
                <c:pt idx="3">
                  <c:v>200</c:v>
                </c:pt>
                <c:pt idx="4">
                  <c:v>100</c:v>
                </c:pt>
                <c:pt idx="5">
                  <c:v>0</c:v>
                </c:pt>
                <c:pt idx="6">
                  <c:v>235</c:v>
                </c:pt>
              </c:numCache>
            </c:numRef>
          </c:val>
          <c:extLst>
            <c:ext xmlns:c16="http://schemas.microsoft.com/office/drawing/2014/chart" uri="{C3380CC4-5D6E-409C-BE32-E72D297353CC}">
              <c16:uniqueId val="{00000000-A84D-4642-8BD6-A3E7D5A3C37D}"/>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checked="Checked"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215900</xdr:colOff>
      <xdr:row>3</xdr:row>
      <xdr:rowOff>127000</xdr:rowOff>
    </xdr:from>
    <xdr:to>
      <xdr:col>10</xdr:col>
      <xdr:colOff>546100</xdr:colOff>
      <xdr:row>6</xdr:row>
      <xdr:rowOff>38100</xdr:rowOff>
    </xdr:to>
    <xdr:sp macro="" textlink="">
      <xdr:nvSpPr>
        <xdr:cNvPr id="6" name="Rectangle 5">
          <a:extLst>
            <a:ext uri="{FF2B5EF4-FFF2-40B4-BE49-F238E27FC236}">
              <a16:creationId xmlns:a16="http://schemas.microsoft.com/office/drawing/2014/main" id="{00000000-0008-0000-0000-000006000000}"/>
            </a:ext>
          </a:extLst>
        </xdr:cNvPr>
        <xdr:cNvSpPr/>
      </xdr:nvSpPr>
      <xdr:spPr>
        <a:xfrm>
          <a:off x="2654300" y="1435100"/>
          <a:ext cx="3987800" cy="463550"/>
        </a:xfrm>
        <a:prstGeom prst="rect">
          <a:avLst/>
        </a:prstGeom>
        <a:solidFill>
          <a:schemeClr val="bg1"/>
        </a:solidFill>
        <a:ln>
          <a:solidFill>
            <a:sysClr val="windowText" lastClr="000000"/>
          </a:solidFill>
        </a:ln>
        <a:effectLst>
          <a:outerShdw dist="38100" dir="2700000" algn="tl" rotWithShape="0">
            <a:schemeClr val="accent2"/>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Trip</a:t>
          </a:r>
          <a:r>
            <a:rPr lang="en-US" sz="1400" b="1" baseline="0">
              <a:solidFill>
                <a:sysClr val="windowText" lastClr="000000"/>
              </a:solidFill>
            </a:rPr>
            <a:t> Dreaming (#1)</a:t>
          </a:r>
          <a:endParaRPr lang="en-US" sz="1400" b="1">
            <a:solidFill>
              <a:sysClr val="windowText" lastClr="000000"/>
            </a:solidFill>
          </a:endParaRPr>
        </a:p>
      </xdr:txBody>
    </xdr:sp>
    <xdr:clientData/>
  </xdr:twoCellAnchor>
  <xdr:twoCellAnchor>
    <xdr:from>
      <xdr:col>4</xdr:col>
      <xdr:colOff>215900</xdr:colOff>
      <xdr:row>6</xdr:row>
      <xdr:rowOff>171450</xdr:rowOff>
    </xdr:from>
    <xdr:to>
      <xdr:col>10</xdr:col>
      <xdr:colOff>546100</xdr:colOff>
      <xdr:row>9</xdr:row>
      <xdr:rowOff>82550</xdr:rowOff>
    </xdr:to>
    <xdr:sp macro="" textlink="">
      <xdr:nvSpPr>
        <xdr:cNvPr id="7" name="Rectangle 6">
          <a:extLst>
            <a:ext uri="{FF2B5EF4-FFF2-40B4-BE49-F238E27FC236}">
              <a16:creationId xmlns:a16="http://schemas.microsoft.com/office/drawing/2014/main" id="{00000000-0008-0000-0000-000007000000}"/>
            </a:ext>
          </a:extLst>
        </xdr:cNvPr>
        <xdr:cNvSpPr/>
      </xdr:nvSpPr>
      <xdr:spPr>
        <a:xfrm>
          <a:off x="2654300" y="2032000"/>
          <a:ext cx="3987800" cy="463550"/>
        </a:xfrm>
        <a:prstGeom prst="rect">
          <a:avLst/>
        </a:prstGeom>
        <a:solidFill>
          <a:schemeClr val="bg1"/>
        </a:solidFill>
        <a:ln>
          <a:solidFill>
            <a:sysClr val="windowText" lastClr="000000"/>
          </a:solidFill>
        </a:ln>
        <a:effectLst>
          <a:outerShdw dist="38100" dir="2700000" algn="tl" rotWithShape="0">
            <a:schemeClr val="accent2"/>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Itinerary Calendar</a:t>
          </a:r>
        </a:p>
      </xdr:txBody>
    </xdr:sp>
    <xdr:clientData/>
  </xdr:twoCellAnchor>
  <xdr:twoCellAnchor>
    <xdr:from>
      <xdr:col>4</xdr:col>
      <xdr:colOff>215900</xdr:colOff>
      <xdr:row>10</xdr:row>
      <xdr:rowOff>38100</xdr:rowOff>
    </xdr:from>
    <xdr:to>
      <xdr:col>10</xdr:col>
      <xdr:colOff>546100</xdr:colOff>
      <xdr:row>12</xdr:row>
      <xdr:rowOff>133350</xdr:rowOff>
    </xdr:to>
    <xdr:sp macro="" textlink="">
      <xdr:nvSpPr>
        <xdr:cNvPr id="8" name="Rectangle 7">
          <a:extLst>
            <a:ext uri="{FF2B5EF4-FFF2-40B4-BE49-F238E27FC236}">
              <a16:creationId xmlns:a16="http://schemas.microsoft.com/office/drawing/2014/main" id="{00000000-0008-0000-0000-000008000000}"/>
            </a:ext>
          </a:extLst>
        </xdr:cNvPr>
        <xdr:cNvSpPr/>
      </xdr:nvSpPr>
      <xdr:spPr>
        <a:xfrm>
          <a:off x="2654300" y="2635250"/>
          <a:ext cx="3987800" cy="463550"/>
        </a:xfrm>
        <a:prstGeom prst="rect">
          <a:avLst/>
        </a:prstGeom>
        <a:solidFill>
          <a:schemeClr val="bg1"/>
        </a:solidFill>
        <a:ln>
          <a:solidFill>
            <a:sysClr val="windowText" lastClr="000000"/>
          </a:solidFill>
        </a:ln>
        <a:effectLst>
          <a:outerShdw dist="38100" dir="2700000" algn="tl" rotWithShape="0">
            <a:schemeClr val="accent2"/>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Itinerary</a:t>
          </a:r>
        </a:p>
      </xdr:txBody>
    </xdr:sp>
    <xdr:clientData/>
  </xdr:twoCellAnchor>
  <xdr:twoCellAnchor>
    <xdr:from>
      <xdr:col>11</xdr:col>
      <xdr:colOff>133350</xdr:colOff>
      <xdr:row>3</xdr:row>
      <xdr:rowOff>133350</xdr:rowOff>
    </xdr:from>
    <xdr:to>
      <xdr:col>17</xdr:col>
      <xdr:colOff>463550</xdr:colOff>
      <xdr:row>6</xdr:row>
      <xdr:rowOff>44450</xdr:rowOff>
    </xdr:to>
    <xdr:sp macro="" textlink="">
      <xdr:nvSpPr>
        <xdr:cNvPr id="10" name="Rectangle 9">
          <a:extLst>
            <a:ext uri="{FF2B5EF4-FFF2-40B4-BE49-F238E27FC236}">
              <a16:creationId xmlns:a16="http://schemas.microsoft.com/office/drawing/2014/main" id="{00000000-0008-0000-0000-00000A000000}"/>
            </a:ext>
          </a:extLst>
        </xdr:cNvPr>
        <xdr:cNvSpPr/>
      </xdr:nvSpPr>
      <xdr:spPr>
        <a:xfrm>
          <a:off x="6838950" y="1441450"/>
          <a:ext cx="3987800" cy="463550"/>
        </a:xfrm>
        <a:prstGeom prst="rect">
          <a:avLst/>
        </a:prstGeom>
        <a:solidFill>
          <a:schemeClr val="bg1"/>
        </a:solidFill>
        <a:ln>
          <a:solidFill>
            <a:sysClr val="windowText" lastClr="000000"/>
          </a:solidFill>
        </a:ln>
        <a:effectLst>
          <a:outerShdw dist="38100" dir="2700000" algn="tl" rotWithShape="0">
            <a:schemeClr val="accent2"/>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#2</a:t>
          </a:r>
          <a:r>
            <a:rPr lang="en-US" sz="1400" b="1" baseline="0">
              <a:solidFill>
                <a:sysClr val="windowText" lastClr="000000"/>
              </a:solidFill>
            </a:rPr>
            <a:t> Accomodations</a:t>
          </a:r>
          <a:endParaRPr lang="en-US" sz="1400" b="1">
            <a:solidFill>
              <a:sysClr val="windowText" lastClr="000000"/>
            </a:solidFill>
          </a:endParaRPr>
        </a:p>
      </xdr:txBody>
    </xdr:sp>
    <xdr:clientData/>
  </xdr:twoCellAnchor>
  <xdr:twoCellAnchor>
    <xdr:from>
      <xdr:col>11</xdr:col>
      <xdr:colOff>139700</xdr:colOff>
      <xdr:row>6</xdr:row>
      <xdr:rowOff>165100</xdr:rowOff>
    </xdr:from>
    <xdr:to>
      <xdr:col>17</xdr:col>
      <xdr:colOff>469900</xdr:colOff>
      <xdr:row>9</xdr:row>
      <xdr:rowOff>76200</xdr:rowOff>
    </xdr:to>
    <xdr:sp macro="" textlink="">
      <xdr:nvSpPr>
        <xdr:cNvPr id="11" name="Rectangle 10">
          <a:extLst>
            <a:ext uri="{FF2B5EF4-FFF2-40B4-BE49-F238E27FC236}">
              <a16:creationId xmlns:a16="http://schemas.microsoft.com/office/drawing/2014/main" id="{00000000-0008-0000-0000-00000B000000}"/>
            </a:ext>
          </a:extLst>
        </xdr:cNvPr>
        <xdr:cNvSpPr/>
      </xdr:nvSpPr>
      <xdr:spPr>
        <a:xfrm>
          <a:off x="6845300" y="2025650"/>
          <a:ext cx="3987800" cy="463550"/>
        </a:xfrm>
        <a:prstGeom prst="rect">
          <a:avLst/>
        </a:prstGeom>
        <a:solidFill>
          <a:schemeClr val="bg1"/>
        </a:solidFill>
        <a:ln>
          <a:solidFill>
            <a:sysClr val="windowText" lastClr="000000"/>
          </a:solidFill>
        </a:ln>
        <a:effectLst>
          <a:outerShdw dist="38100" dir="2700000" algn="tl" rotWithShape="0">
            <a:schemeClr val="accent2"/>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#3</a:t>
          </a:r>
          <a:r>
            <a:rPr lang="en-US" sz="1400" b="1" baseline="0">
              <a:solidFill>
                <a:sysClr val="windowText" lastClr="000000"/>
              </a:solidFill>
            </a:rPr>
            <a:t> Transportation</a:t>
          </a:r>
          <a:endParaRPr lang="en-US" sz="1400" b="1">
            <a:solidFill>
              <a:sysClr val="windowText" lastClr="000000"/>
            </a:solidFill>
          </a:endParaRPr>
        </a:p>
      </xdr:txBody>
    </xdr:sp>
    <xdr:clientData/>
  </xdr:twoCellAnchor>
  <xdr:twoCellAnchor>
    <xdr:from>
      <xdr:col>11</xdr:col>
      <xdr:colOff>146050</xdr:colOff>
      <xdr:row>10</xdr:row>
      <xdr:rowOff>25400</xdr:rowOff>
    </xdr:from>
    <xdr:to>
      <xdr:col>17</xdr:col>
      <xdr:colOff>476250</xdr:colOff>
      <xdr:row>12</xdr:row>
      <xdr:rowOff>120650</xdr:rowOff>
    </xdr:to>
    <xdr:sp macro="" textlink="">
      <xdr:nvSpPr>
        <xdr:cNvPr id="13" name="Rectangle 12">
          <a:extLst>
            <a:ext uri="{FF2B5EF4-FFF2-40B4-BE49-F238E27FC236}">
              <a16:creationId xmlns:a16="http://schemas.microsoft.com/office/drawing/2014/main" id="{00000000-0008-0000-0000-00000D000000}"/>
            </a:ext>
          </a:extLst>
        </xdr:cNvPr>
        <xdr:cNvSpPr/>
      </xdr:nvSpPr>
      <xdr:spPr>
        <a:xfrm>
          <a:off x="6851650" y="2622550"/>
          <a:ext cx="3987800" cy="463550"/>
        </a:xfrm>
        <a:prstGeom prst="rect">
          <a:avLst/>
        </a:prstGeom>
        <a:solidFill>
          <a:schemeClr val="bg1"/>
        </a:solidFill>
        <a:ln>
          <a:solidFill>
            <a:sysClr val="windowText" lastClr="000000"/>
          </a:solidFill>
        </a:ln>
        <a:effectLst>
          <a:outerShdw dist="38100" dir="2700000" algn="tl" rotWithShape="0">
            <a:schemeClr val="accent2"/>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#4</a:t>
          </a:r>
          <a:r>
            <a:rPr lang="en-US" sz="1400" b="1" baseline="0">
              <a:solidFill>
                <a:sysClr val="windowText" lastClr="000000"/>
              </a:solidFill>
            </a:rPr>
            <a:t> Building a Budget</a:t>
          </a:r>
          <a:endParaRPr lang="en-US" sz="1400" b="1">
            <a:solidFill>
              <a:sysClr val="windowText" lastClr="000000"/>
            </a:solidFill>
          </a:endParaRPr>
        </a:p>
      </xdr:txBody>
    </xdr:sp>
    <xdr:clientData/>
  </xdr:twoCellAnchor>
  <xdr:twoCellAnchor>
    <xdr:from>
      <xdr:col>11</xdr:col>
      <xdr:colOff>139700</xdr:colOff>
      <xdr:row>13</xdr:row>
      <xdr:rowOff>101600</xdr:rowOff>
    </xdr:from>
    <xdr:to>
      <xdr:col>17</xdr:col>
      <xdr:colOff>469900</xdr:colOff>
      <xdr:row>16</xdr:row>
      <xdr:rowOff>12700</xdr:rowOff>
    </xdr:to>
    <xdr:sp macro="" textlink="">
      <xdr:nvSpPr>
        <xdr:cNvPr id="15" name="Rectangle 14">
          <a:extLst>
            <a:ext uri="{FF2B5EF4-FFF2-40B4-BE49-F238E27FC236}">
              <a16:creationId xmlns:a16="http://schemas.microsoft.com/office/drawing/2014/main" id="{00000000-0008-0000-0000-00000F000000}"/>
            </a:ext>
          </a:extLst>
        </xdr:cNvPr>
        <xdr:cNvSpPr/>
      </xdr:nvSpPr>
      <xdr:spPr>
        <a:xfrm>
          <a:off x="6845300" y="3251200"/>
          <a:ext cx="3987800" cy="463550"/>
        </a:xfrm>
        <a:prstGeom prst="rect">
          <a:avLst/>
        </a:prstGeom>
        <a:solidFill>
          <a:schemeClr val="bg1"/>
        </a:solidFill>
        <a:ln>
          <a:solidFill>
            <a:sysClr val="windowText" lastClr="000000"/>
          </a:solidFill>
        </a:ln>
        <a:effectLst>
          <a:outerShdw dist="38100" dir="2700000" algn="tl" rotWithShape="0">
            <a:schemeClr val="accent2"/>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a:t>
          </a:r>
          <a:r>
            <a:rPr lang="en-US" sz="1400" b="1" baseline="0">
              <a:solidFill>
                <a:sysClr val="windowText" lastClr="000000"/>
              </a:solidFill>
            </a:rPr>
            <a:t>5 Packing Checklist</a:t>
          </a:r>
          <a:endParaRPr lang="en-US" sz="1400" b="1">
            <a:solidFill>
              <a:sysClr val="windowText" lastClr="000000"/>
            </a:solidFill>
          </a:endParaRPr>
        </a:p>
      </xdr:txBody>
    </xdr:sp>
    <xdr:clientData/>
  </xdr:twoCellAnchor>
  <xdr:twoCellAnchor>
    <xdr:from>
      <xdr:col>4</xdr:col>
      <xdr:colOff>234950</xdr:colOff>
      <xdr:row>21</xdr:row>
      <xdr:rowOff>171450</xdr:rowOff>
    </xdr:from>
    <xdr:to>
      <xdr:col>11</xdr:col>
      <xdr:colOff>596900</xdr:colOff>
      <xdr:row>27</xdr:row>
      <xdr:rowOff>152400</xdr:rowOff>
    </xdr:to>
    <xdr:sp macro="" textlink="">
      <xdr:nvSpPr>
        <xdr:cNvPr id="16" name="Rectangle 15">
          <a:extLst>
            <a:ext uri="{FF2B5EF4-FFF2-40B4-BE49-F238E27FC236}">
              <a16:creationId xmlns:a16="http://schemas.microsoft.com/office/drawing/2014/main" id="{00000000-0008-0000-0000-000010000000}"/>
            </a:ext>
          </a:extLst>
        </xdr:cNvPr>
        <xdr:cNvSpPr/>
      </xdr:nvSpPr>
      <xdr:spPr>
        <a:xfrm>
          <a:off x="2673350" y="4794250"/>
          <a:ext cx="4629150" cy="1085850"/>
        </a:xfrm>
        <a:prstGeom prst="rect">
          <a:avLst/>
        </a:prstGeom>
        <a:solidFill>
          <a:schemeClr val="bg1"/>
        </a:solidFill>
        <a:ln>
          <a:solidFill>
            <a:sysClr val="windowText" lastClr="000000"/>
          </a:solidFill>
        </a:ln>
        <a:effectLst>
          <a:outerShdw dist="38100" dir="2700000" algn="tl" rotWithShape="0">
            <a:schemeClr val="accent2"/>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Legend:</a:t>
          </a:r>
        </a:p>
        <a:p>
          <a:pPr algn="l"/>
          <a:r>
            <a:rPr lang="en-US" sz="1200" b="0">
              <a:solidFill>
                <a:sysClr val="windowText" lastClr="000000"/>
              </a:solidFill>
            </a:rPr>
            <a:t>Tabs</a:t>
          </a:r>
          <a:r>
            <a:rPr lang="en-US" sz="1200" b="0" baseline="0">
              <a:solidFill>
                <a:sysClr val="windowText" lastClr="000000"/>
              </a:solidFill>
            </a:rPr>
            <a:t> in</a:t>
          </a:r>
          <a:r>
            <a:rPr lang="en-US" sz="1200" b="0" baseline="0">
              <a:solidFill>
                <a:schemeClr val="accent1"/>
              </a:solidFill>
            </a:rPr>
            <a:t> </a:t>
          </a:r>
          <a:r>
            <a:rPr lang="en-US" sz="1200" b="1" baseline="0">
              <a:solidFill>
                <a:schemeClr val="accent1"/>
              </a:solidFill>
            </a:rPr>
            <a:t>Purple </a:t>
          </a:r>
          <a:r>
            <a:rPr lang="en-US" sz="1200" b="0" baseline="0">
              <a:solidFill>
                <a:sysClr val="windowText" lastClr="000000"/>
              </a:solidFill>
            </a:rPr>
            <a:t>you fill in. Some may be partially automated.</a:t>
          </a:r>
        </a:p>
        <a:p>
          <a:pPr algn="l"/>
          <a:r>
            <a:rPr lang="en-US" sz="1200" b="0" baseline="0">
              <a:solidFill>
                <a:sysClr val="windowText" lastClr="000000"/>
              </a:solidFill>
            </a:rPr>
            <a:t>Tabs in </a:t>
          </a:r>
          <a:r>
            <a:rPr lang="en-US" sz="1200" b="1" baseline="0">
              <a:solidFill>
                <a:schemeClr val="accent2">
                  <a:lumMod val="50000"/>
                </a:schemeClr>
              </a:solidFill>
            </a:rPr>
            <a:t>Green</a:t>
          </a:r>
          <a:r>
            <a:rPr lang="en-US" sz="1200" b="1" baseline="0">
              <a:solidFill>
                <a:sysClr val="windowText" lastClr="000000"/>
              </a:solidFill>
            </a:rPr>
            <a:t> </a:t>
          </a:r>
          <a:r>
            <a:rPr lang="en-US" sz="1200" b="0" baseline="0">
              <a:solidFill>
                <a:sysClr val="windowText" lastClr="000000"/>
              </a:solidFill>
            </a:rPr>
            <a:t>are magically populated with info you filled out in the </a:t>
          </a:r>
          <a:r>
            <a:rPr lang="en-US" sz="1200" b="1" baseline="0">
              <a:solidFill>
                <a:schemeClr val="accent1"/>
              </a:solidFill>
            </a:rPr>
            <a:t>Purple</a:t>
          </a:r>
          <a:r>
            <a:rPr lang="en-US" sz="1200" b="1" baseline="0">
              <a:solidFill>
                <a:sysClr val="windowText" lastClr="000000"/>
              </a:solidFill>
            </a:rPr>
            <a:t> </a:t>
          </a:r>
          <a:r>
            <a:rPr lang="en-US" sz="1200" b="0" baseline="0">
              <a:solidFill>
                <a:sysClr val="windowText" lastClr="000000"/>
              </a:solidFill>
            </a:rPr>
            <a:t>tabs.</a:t>
          </a:r>
        </a:p>
        <a:p>
          <a:pPr algn="l"/>
          <a:r>
            <a:rPr lang="en-US" sz="1200" b="0" baseline="0">
              <a:solidFill>
                <a:sysClr val="windowText" lastClr="000000"/>
              </a:solidFill>
            </a:rPr>
            <a:t>If you need any direction refer to the </a:t>
          </a:r>
          <a:r>
            <a:rPr lang="en-US" sz="1200" b="1" baseline="0">
              <a:solidFill>
                <a:schemeClr val="tx2">
                  <a:lumMod val="40000"/>
                  <a:lumOff val="60000"/>
                </a:schemeClr>
              </a:solidFill>
            </a:rPr>
            <a:t>Spreadsheet Instructions</a:t>
          </a:r>
          <a:endParaRPr lang="en-US" sz="1200" b="0" baseline="0">
            <a:solidFill>
              <a:schemeClr val="tx2">
                <a:lumMod val="40000"/>
                <a:lumOff val="60000"/>
              </a:schemeClr>
            </a:solidFill>
          </a:endParaRPr>
        </a:p>
      </xdr:txBody>
    </xdr:sp>
    <xdr:clientData/>
  </xdr:twoCellAnchor>
  <xdr:twoCellAnchor>
    <xdr:from>
      <xdr:col>12</xdr:col>
      <xdr:colOff>203200</xdr:colOff>
      <xdr:row>21</xdr:row>
      <xdr:rowOff>171450</xdr:rowOff>
    </xdr:from>
    <xdr:to>
      <xdr:col>17</xdr:col>
      <xdr:colOff>476250</xdr:colOff>
      <xdr:row>25</xdr:row>
      <xdr:rowOff>146050</xdr:rowOff>
    </xdr:to>
    <xdr:sp macro="" textlink="">
      <xdr:nvSpPr>
        <xdr:cNvPr id="18" name="Rectangle 17">
          <a:extLst>
            <a:ext uri="{FF2B5EF4-FFF2-40B4-BE49-F238E27FC236}">
              <a16:creationId xmlns:a16="http://schemas.microsoft.com/office/drawing/2014/main" id="{00000000-0008-0000-0000-000012000000}"/>
            </a:ext>
          </a:extLst>
        </xdr:cNvPr>
        <xdr:cNvSpPr/>
      </xdr:nvSpPr>
      <xdr:spPr>
        <a:xfrm>
          <a:off x="7518400" y="4794250"/>
          <a:ext cx="3321050" cy="711200"/>
        </a:xfrm>
        <a:prstGeom prst="rect">
          <a:avLst/>
        </a:prstGeom>
        <a:solidFill>
          <a:schemeClr val="bg1"/>
        </a:solidFill>
        <a:ln>
          <a:solidFill>
            <a:sysClr val="windowText" lastClr="000000"/>
          </a:solidFill>
        </a:ln>
        <a:effectLst>
          <a:outerShdw dist="38100" dir="2700000" algn="tl" rotWithShape="0">
            <a:schemeClr val="accent2"/>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baseline="0">
              <a:solidFill>
                <a:sysClr val="windowText" lastClr="000000"/>
              </a:solidFill>
            </a:rPr>
            <a:t>I hope the spreadsheets included in this workbook help you plan an incredible journey. Safe Travels!!!!! &lt;3 Hayley</a:t>
          </a:r>
        </a:p>
      </xdr:txBody>
    </xdr:sp>
    <xdr:clientData/>
  </xdr:twoCellAnchor>
  <xdr:twoCellAnchor>
    <xdr:from>
      <xdr:col>4</xdr:col>
      <xdr:colOff>228600</xdr:colOff>
      <xdr:row>13</xdr:row>
      <xdr:rowOff>101600</xdr:rowOff>
    </xdr:from>
    <xdr:to>
      <xdr:col>10</xdr:col>
      <xdr:colOff>558800</xdr:colOff>
      <xdr:row>16</xdr:row>
      <xdr:rowOff>12700</xdr:rowOff>
    </xdr:to>
    <xdr:sp macro="" textlink="">
      <xdr:nvSpPr>
        <xdr:cNvPr id="2" name="Rectangle 1">
          <a:extLst>
            <a:ext uri="{FF2B5EF4-FFF2-40B4-BE49-F238E27FC236}">
              <a16:creationId xmlns:a16="http://schemas.microsoft.com/office/drawing/2014/main" id="{EDC4CCB3-51BA-48EA-9C1D-2B332A43B9A3}"/>
            </a:ext>
          </a:extLst>
        </xdr:cNvPr>
        <xdr:cNvSpPr/>
      </xdr:nvSpPr>
      <xdr:spPr>
        <a:xfrm>
          <a:off x="2667000" y="3251200"/>
          <a:ext cx="3987800" cy="463550"/>
        </a:xfrm>
        <a:prstGeom prst="rect">
          <a:avLst/>
        </a:prstGeom>
        <a:solidFill>
          <a:schemeClr val="tx2">
            <a:lumMod val="20000"/>
            <a:lumOff val="80000"/>
          </a:schemeClr>
        </a:solidFill>
        <a:ln>
          <a:solidFill>
            <a:sysClr val="windowText" lastClr="000000"/>
          </a:solidFill>
        </a:ln>
        <a:effectLst>
          <a:outerShdw dist="38100" dir="2700000" algn="tl" rotWithShape="0">
            <a:schemeClr val="accent2"/>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Spreadsheet Instructions.pdf</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215900</xdr:colOff>
      <xdr:row>0</xdr:row>
      <xdr:rowOff>104774</xdr:rowOff>
    </xdr:from>
    <xdr:to>
      <xdr:col>22</xdr:col>
      <xdr:colOff>362926</xdr:colOff>
      <xdr:row>17</xdr:row>
      <xdr:rowOff>76200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79375</xdr:colOff>
      <xdr:row>0</xdr:row>
      <xdr:rowOff>92074</xdr:rowOff>
    </xdr:from>
    <xdr:to>
      <xdr:col>11</xdr:col>
      <xdr:colOff>82550</xdr:colOff>
      <xdr:row>32</xdr:row>
      <xdr:rowOff>133350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4</xdr:row>
      <xdr:rowOff>198437</xdr:rowOff>
    </xdr:from>
    <xdr:to>
      <xdr:col>7</xdr:col>
      <xdr:colOff>1866900</xdr:colOff>
      <xdr:row>6</xdr:row>
      <xdr:rowOff>177800</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7899400" y="1176337"/>
          <a:ext cx="5702300" cy="874713"/>
        </a:xfrm>
        <a:prstGeom prst="rect">
          <a:avLst/>
        </a:prstGeom>
        <a:solidFill>
          <a:schemeClr val="bg1"/>
        </a:solidFill>
        <a:ln>
          <a:solidFill>
            <a:schemeClr val="accent3">
              <a:lumMod val="50000"/>
            </a:schemeClr>
          </a:solidFill>
        </a:ln>
        <a:effectLst>
          <a:outerShdw dist="38100" dir="2700000" algn="tl" rotWithShape="0">
            <a:schemeClr val="accent2"/>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baseline="0">
              <a:solidFill>
                <a:sysClr val="windowText" lastClr="000000"/>
              </a:solidFill>
            </a:rPr>
            <a:t>What does this spreadsheet mean?????</a:t>
          </a:r>
        </a:p>
        <a:p>
          <a:pPr algn="l"/>
          <a:r>
            <a:rPr lang="en-US" sz="1200" b="0" baseline="0">
              <a:solidFill>
                <a:sysClr val="windowText" lastClr="000000"/>
              </a:solidFill>
            </a:rPr>
            <a:t>No need to add any dates in because those are automatically populated by excel formulas running in the background based off of your trip start date. Also, if you are wondering why some cells can't be changed... it's because I locked them. </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171450</xdr:colOff>
      <xdr:row>0</xdr:row>
      <xdr:rowOff>152400</xdr:rowOff>
    </xdr:from>
    <xdr:to>
      <xdr:col>8</xdr:col>
      <xdr:colOff>565150</xdr:colOff>
      <xdr:row>6</xdr:row>
      <xdr:rowOff>19050</xdr:rowOff>
    </xdr:to>
    <xdr:sp macro="" textlink="">
      <xdr:nvSpPr>
        <xdr:cNvPr id="2" name="Rectangle 1">
          <a:extLst>
            <a:ext uri="{FF2B5EF4-FFF2-40B4-BE49-F238E27FC236}">
              <a16:creationId xmlns:a16="http://schemas.microsoft.com/office/drawing/2014/main" id="{00000000-0008-0000-0400-000002000000}"/>
            </a:ext>
          </a:extLst>
        </xdr:cNvPr>
        <xdr:cNvSpPr/>
      </xdr:nvSpPr>
      <xdr:spPr>
        <a:xfrm>
          <a:off x="7080250" y="152400"/>
          <a:ext cx="5454650" cy="1054100"/>
        </a:xfrm>
        <a:prstGeom prst="rect">
          <a:avLst/>
        </a:prstGeom>
        <a:solidFill>
          <a:schemeClr val="bg1"/>
        </a:solidFill>
        <a:ln>
          <a:solidFill>
            <a:schemeClr val="accent3">
              <a:lumMod val="50000"/>
            </a:schemeClr>
          </a:solidFill>
        </a:ln>
        <a:effectLst>
          <a:outerShdw dist="38100" dir="2700000" algn="tl" rotWithShape="0">
            <a:schemeClr val="accent2"/>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baseline="0">
              <a:solidFill>
                <a:sysClr val="windowText" lastClr="000000"/>
              </a:solidFill>
            </a:rPr>
            <a:t>What does this spreadsheet mean?????</a:t>
          </a:r>
        </a:p>
        <a:p>
          <a:pPr algn="l"/>
          <a:r>
            <a:rPr lang="en-US" sz="1200" b="0" baseline="0">
              <a:solidFill>
                <a:sysClr val="windowText" lastClr="000000"/>
              </a:solidFill>
            </a:rPr>
            <a:t>What are all these empty rows and cells? This spreadsheet exists so you can see all of the data and information for your trip. This sheet feeds directly into your </a:t>
          </a:r>
          <a:r>
            <a:rPr lang="en-US" sz="1200" b="1" baseline="0">
              <a:solidFill>
                <a:schemeClr val="accent2">
                  <a:lumMod val="50000"/>
                </a:schemeClr>
              </a:solidFill>
            </a:rPr>
            <a:t>Itinerary</a:t>
          </a:r>
          <a:r>
            <a:rPr lang="en-US" sz="1200" b="1" baseline="0">
              <a:solidFill>
                <a:sysClr val="windowText" lastClr="000000"/>
              </a:solidFill>
            </a:rPr>
            <a:t> </a:t>
          </a:r>
          <a:r>
            <a:rPr lang="en-US" sz="1200" b="1" baseline="0">
              <a:solidFill>
                <a:schemeClr val="accent2">
                  <a:lumMod val="50000"/>
                </a:schemeClr>
              </a:solidFill>
            </a:rPr>
            <a:t>Calendar</a:t>
          </a:r>
          <a:r>
            <a:rPr lang="en-US" sz="1200" b="0" baseline="0">
              <a:solidFill>
                <a:sysClr val="windowText" lastClr="000000"/>
              </a:solidFill>
            </a:rPr>
            <a:t> sheet - which means all the empty cells are placeholders for the days of the month you are not traveling. The cells that are plain white can be edited!</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22</xdr:col>
      <xdr:colOff>248228</xdr:colOff>
      <xdr:row>1</xdr:row>
      <xdr:rowOff>207240</xdr:rowOff>
    </xdr:from>
    <xdr:to>
      <xdr:col>28</xdr:col>
      <xdr:colOff>213592</xdr:colOff>
      <xdr:row>23</xdr:row>
      <xdr:rowOff>11545</xdr:rowOff>
    </xdr:to>
    <xdr:graphicFrame macro="">
      <xdr:nvGraphicFramePr>
        <xdr:cNvPr id="5" name="Chart 4">
          <a:extLst>
            <a:ext uri="{FF2B5EF4-FFF2-40B4-BE49-F238E27FC236}">
              <a16:creationId xmlns:a16="http://schemas.microsoft.com/office/drawing/2014/main" id="{A2A6308F-3838-511E-D7A4-9C530FF7B3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5</xdr:row>
          <xdr:rowOff>171450</xdr:rowOff>
        </xdr:from>
        <xdr:to>
          <xdr:col>5</xdr:col>
          <xdr:colOff>0</xdr:colOff>
          <xdr:row>7</xdr:row>
          <xdr:rowOff>12700</xdr:rowOff>
        </xdr:to>
        <xdr:sp macro="" textlink="">
          <xdr:nvSpPr>
            <xdr:cNvPr id="19458" name="Check Box 2" hidden="1">
              <a:extLst>
                <a:ext uri="{63B3BB69-23CF-44E3-9099-C40C66FF867C}">
                  <a14:compatExt spid="_x0000_s19458"/>
                </a:ext>
                <a:ext uri="{FF2B5EF4-FFF2-40B4-BE49-F238E27FC236}">
                  <a16:creationId xmlns:a16="http://schemas.microsoft.com/office/drawing/2014/main" id="{00000000-0008-0000-0A00-000002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xdr:row>
          <xdr:rowOff>171450</xdr:rowOff>
        </xdr:from>
        <xdr:to>
          <xdr:col>5</xdr:col>
          <xdr:colOff>0</xdr:colOff>
          <xdr:row>8</xdr:row>
          <xdr:rowOff>19050</xdr:rowOff>
        </xdr:to>
        <xdr:sp macro="" textlink="">
          <xdr:nvSpPr>
            <xdr:cNvPr id="19459" name="Check Box 3" hidden="1">
              <a:extLst>
                <a:ext uri="{63B3BB69-23CF-44E3-9099-C40C66FF867C}">
                  <a14:compatExt spid="_x0000_s19459"/>
                </a:ext>
                <a:ext uri="{FF2B5EF4-FFF2-40B4-BE49-F238E27FC236}">
                  <a16:creationId xmlns:a16="http://schemas.microsoft.com/office/drawing/2014/main" id="{00000000-0008-0000-0A00-000003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171450</xdr:rowOff>
        </xdr:from>
        <xdr:to>
          <xdr:col>5</xdr:col>
          <xdr:colOff>0</xdr:colOff>
          <xdr:row>9</xdr:row>
          <xdr:rowOff>19050</xdr:rowOff>
        </xdr:to>
        <xdr:sp macro="" textlink="">
          <xdr:nvSpPr>
            <xdr:cNvPr id="19460" name="Check Box 4" hidden="1">
              <a:extLst>
                <a:ext uri="{63B3BB69-23CF-44E3-9099-C40C66FF867C}">
                  <a14:compatExt spid="_x0000_s19460"/>
                </a:ext>
                <a:ext uri="{FF2B5EF4-FFF2-40B4-BE49-F238E27FC236}">
                  <a16:creationId xmlns:a16="http://schemas.microsoft.com/office/drawing/2014/main" id="{00000000-0008-0000-0A00-000004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xdr:row>
          <xdr:rowOff>171450</xdr:rowOff>
        </xdr:from>
        <xdr:to>
          <xdr:col>5</xdr:col>
          <xdr:colOff>0</xdr:colOff>
          <xdr:row>10</xdr:row>
          <xdr:rowOff>19050</xdr:rowOff>
        </xdr:to>
        <xdr:sp macro="" textlink="">
          <xdr:nvSpPr>
            <xdr:cNvPr id="19461" name="Check Box 5" hidden="1">
              <a:extLst>
                <a:ext uri="{63B3BB69-23CF-44E3-9099-C40C66FF867C}">
                  <a14:compatExt spid="_x0000_s19461"/>
                </a:ext>
                <a:ext uri="{FF2B5EF4-FFF2-40B4-BE49-F238E27FC236}">
                  <a16:creationId xmlns:a16="http://schemas.microsoft.com/office/drawing/2014/main" id="{00000000-0008-0000-0A00-000005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9</xdr:row>
          <xdr:rowOff>171450</xdr:rowOff>
        </xdr:from>
        <xdr:to>
          <xdr:col>5</xdr:col>
          <xdr:colOff>0</xdr:colOff>
          <xdr:row>11</xdr:row>
          <xdr:rowOff>12700</xdr:rowOff>
        </xdr:to>
        <xdr:sp macro="" textlink="">
          <xdr:nvSpPr>
            <xdr:cNvPr id="19462" name="Check Box 6" hidden="1">
              <a:extLst>
                <a:ext uri="{63B3BB69-23CF-44E3-9099-C40C66FF867C}">
                  <a14:compatExt spid="_x0000_s19462"/>
                </a:ext>
                <a:ext uri="{FF2B5EF4-FFF2-40B4-BE49-F238E27FC236}">
                  <a16:creationId xmlns:a16="http://schemas.microsoft.com/office/drawing/2014/main" id="{00000000-0008-0000-0A00-000006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xdr:row>
          <xdr:rowOff>171450</xdr:rowOff>
        </xdr:from>
        <xdr:to>
          <xdr:col>5</xdr:col>
          <xdr:colOff>0</xdr:colOff>
          <xdr:row>12</xdr:row>
          <xdr:rowOff>6350</xdr:rowOff>
        </xdr:to>
        <xdr:sp macro="" textlink="">
          <xdr:nvSpPr>
            <xdr:cNvPr id="19463" name="Check Box 7" hidden="1">
              <a:extLst>
                <a:ext uri="{63B3BB69-23CF-44E3-9099-C40C66FF867C}">
                  <a14:compatExt spid="_x0000_s19463"/>
                </a:ext>
                <a:ext uri="{FF2B5EF4-FFF2-40B4-BE49-F238E27FC236}">
                  <a16:creationId xmlns:a16="http://schemas.microsoft.com/office/drawing/2014/main" id="{00000000-0008-0000-0A00-000007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171450</xdr:rowOff>
        </xdr:from>
        <xdr:to>
          <xdr:col>5</xdr:col>
          <xdr:colOff>0</xdr:colOff>
          <xdr:row>13</xdr:row>
          <xdr:rowOff>6350</xdr:rowOff>
        </xdr:to>
        <xdr:sp macro="" textlink="">
          <xdr:nvSpPr>
            <xdr:cNvPr id="19464" name="Check Box 8" hidden="1">
              <a:extLst>
                <a:ext uri="{63B3BB69-23CF-44E3-9099-C40C66FF867C}">
                  <a14:compatExt spid="_x0000_s19464"/>
                </a:ext>
                <a:ext uri="{FF2B5EF4-FFF2-40B4-BE49-F238E27FC236}">
                  <a16:creationId xmlns:a16="http://schemas.microsoft.com/office/drawing/2014/main" id="{00000000-0008-0000-0A00-000008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171450</xdr:rowOff>
        </xdr:from>
        <xdr:to>
          <xdr:col>5</xdr:col>
          <xdr:colOff>0</xdr:colOff>
          <xdr:row>14</xdr:row>
          <xdr:rowOff>6350</xdr:rowOff>
        </xdr:to>
        <xdr:sp macro="" textlink="">
          <xdr:nvSpPr>
            <xdr:cNvPr id="19465" name="Check Box 9" hidden="1">
              <a:extLst>
                <a:ext uri="{63B3BB69-23CF-44E3-9099-C40C66FF867C}">
                  <a14:compatExt spid="_x0000_s19465"/>
                </a:ext>
                <a:ext uri="{FF2B5EF4-FFF2-40B4-BE49-F238E27FC236}">
                  <a16:creationId xmlns:a16="http://schemas.microsoft.com/office/drawing/2014/main" id="{00000000-0008-0000-0A00-000009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13</xdr:row>
          <xdr:rowOff>171450</xdr:rowOff>
        </xdr:from>
        <xdr:to>
          <xdr:col>5</xdr:col>
          <xdr:colOff>0</xdr:colOff>
          <xdr:row>15</xdr:row>
          <xdr:rowOff>12700</xdr:rowOff>
        </xdr:to>
        <xdr:sp macro="" textlink="">
          <xdr:nvSpPr>
            <xdr:cNvPr id="19466" name="Check Box 10" hidden="1">
              <a:extLst>
                <a:ext uri="{63B3BB69-23CF-44E3-9099-C40C66FF867C}">
                  <a14:compatExt spid="_x0000_s19466"/>
                </a:ext>
                <a:ext uri="{FF2B5EF4-FFF2-40B4-BE49-F238E27FC236}">
                  <a16:creationId xmlns:a16="http://schemas.microsoft.com/office/drawing/2014/main" id="{00000000-0008-0000-0A00-00000A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xdr:row>
          <xdr:rowOff>171450</xdr:rowOff>
        </xdr:from>
        <xdr:to>
          <xdr:col>5</xdr:col>
          <xdr:colOff>0</xdr:colOff>
          <xdr:row>16</xdr:row>
          <xdr:rowOff>12700</xdr:rowOff>
        </xdr:to>
        <xdr:sp macro="" textlink="">
          <xdr:nvSpPr>
            <xdr:cNvPr id="19467" name="Check Box 11" hidden="1">
              <a:extLst>
                <a:ext uri="{63B3BB69-23CF-44E3-9099-C40C66FF867C}">
                  <a14:compatExt spid="_x0000_s19467"/>
                </a:ext>
                <a:ext uri="{FF2B5EF4-FFF2-40B4-BE49-F238E27FC236}">
                  <a16:creationId xmlns:a16="http://schemas.microsoft.com/office/drawing/2014/main" id="{00000000-0008-0000-0A00-00000B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15</xdr:row>
          <xdr:rowOff>171450</xdr:rowOff>
        </xdr:from>
        <xdr:to>
          <xdr:col>5</xdr:col>
          <xdr:colOff>0</xdr:colOff>
          <xdr:row>17</xdr:row>
          <xdr:rowOff>6350</xdr:rowOff>
        </xdr:to>
        <xdr:sp macro="" textlink="">
          <xdr:nvSpPr>
            <xdr:cNvPr id="19468" name="Check Box 12" hidden="1">
              <a:extLst>
                <a:ext uri="{63B3BB69-23CF-44E3-9099-C40C66FF867C}">
                  <a14:compatExt spid="_x0000_s19468"/>
                </a:ext>
                <a:ext uri="{FF2B5EF4-FFF2-40B4-BE49-F238E27FC236}">
                  <a16:creationId xmlns:a16="http://schemas.microsoft.com/office/drawing/2014/main" id="{00000000-0008-0000-0A00-00000C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16</xdr:row>
          <xdr:rowOff>171450</xdr:rowOff>
        </xdr:from>
        <xdr:to>
          <xdr:col>5</xdr:col>
          <xdr:colOff>0</xdr:colOff>
          <xdr:row>18</xdr:row>
          <xdr:rowOff>12700</xdr:rowOff>
        </xdr:to>
        <xdr:sp macro="" textlink="">
          <xdr:nvSpPr>
            <xdr:cNvPr id="19469" name="Check Box 13" hidden="1">
              <a:extLst>
                <a:ext uri="{63B3BB69-23CF-44E3-9099-C40C66FF867C}">
                  <a14:compatExt spid="_x0000_s19469"/>
                </a:ext>
                <a:ext uri="{FF2B5EF4-FFF2-40B4-BE49-F238E27FC236}">
                  <a16:creationId xmlns:a16="http://schemas.microsoft.com/office/drawing/2014/main" id="{00000000-0008-0000-0A00-00000D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17</xdr:row>
          <xdr:rowOff>171450</xdr:rowOff>
        </xdr:from>
        <xdr:to>
          <xdr:col>5</xdr:col>
          <xdr:colOff>0</xdr:colOff>
          <xdr:row>19</xdr:row>
          <xdr:rowOff>12700</xdr:rowOff>
        </xdr:to>
        <xdr:sp macro="" textlink="">
          <xdr:nvSpPr>
            <xdr:cNvPr id="19470" name="Check Box 14" hidden="1">
              <a:extLst>
                <a:ext uri="{63B3BB69-23CF-44E3-9099-C40C66FF867C}">
                  <a14:compatExt spid="_x0000_s19470"/>
                </a:ext>
                <a:ext uri="{FF2B5EF4-FFF2-40B4-BE49-F238E27FC236}">
                  <a16:creationId xmlns:a16="http://schemas.microsoft.com/office/drawing/2014/main" id="{00000000-0008-0000-0A00-00000E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18</xdr:row>
          <xdr:rowOff>171450</xdr:rowOff>
        </xdr:from>
        <xdr:to>
          <xdr:col>5</xdr:col>
          <xdr:colOff>0</xdr:colOff>
          <xdr:row>20</xdr:row>
          <xdr:rowOff>12700</xdr:rowOff>
        </xdr:to>
        <xdr:sp macro="" textlink="">
          <xdr:nvSpPr>
            <xdr:cNvPr id="19471" name="Check Box 15" hidden="1">
              <a:extLst>
                <a:ext uri="{63B3BB69-23CF-44E3-9099-C40C66FF867C}">
                  <a14:compatExt spid="_x0000_s19471"/>
                </a:ext>
                <a:ext uri="{FF2B5EF4-FFF2-40B4-BE49-F238E27FC236}">
                  <a16:creationId xmlns:a16="http://schemas.microsoft.com/office/drawing/2014/main" id="{00000000-0008-0000-0A00-00000F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19</xdr:row>
          <xdr:rowOff>171450</xdr:rowOff>
        </xdr:from>
        <xdr:to>
          <xdr:col>5</xdr:col>
          <xdr:colOff>0</xdr:colOff>
          <xdr:row>21</xdr:row>
          <xdr:rowOff>19050</xdr:rowOff>
        </xdr:to>
        <xdr:sp macro="" textlink="">
          <xdr:nvSpPr>
            <xdr:cNvPr id="19472" name="Check Box 16" hidden="1">
              <a:extLst>
                <a:ext uri="{63B3BB69-23CF-44E3-9099-C40C66FF867C}">
                  <a14:compatExt spid="_x0000_s19472"/>
                </a:ext>
                <a:ext uri="{FF2B5EF4-FFF2-40B4-BE49-F238E27FC236}">
                  <a16:creationId xmlns:a16="http://schemas.microsoft.com/office/drawing/2014/main" id="{00000000-0008-0000-0A00-000010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20</xdr:row>
          <xdr:rowOff>171450</xdr:rowOff>
        </xdr:from>
        <xdr:to>
          <xdr:col>5</xdr:col>
          <xdr:colOff>0</xdr:colOff>
          <xdr:row>22</xdr:row>
          <xdr:rowOff>19050</xdr:rowOff>
        </xdr:to>
        <xdr:sp macro="" textlink="">
          <xdr:nvSpPr>
            <xdr:cNvPr id="19473" name="Check Box 17" hidden="1">
              <a:extLst>
                <a:ext uri="{63B3BB69-23CF-44E3-9099-C40C66FF867C}">
                  <a14:compatExt spid="_x0000_s19473"/>
                </a:ext>
                <a:ext uri="{FF2B5EF4-FFF2-40B4-BE49-F238E27FC236}">
                  <a16:creationId xmlns:a16="http://schemas.microsoft.com/office/drawing/2014/main" id="{00000000-0008-0000-0A00-000011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21</xdr:row>
          <xdr:rowOff>171450</xdr:rowOff>
        </xdr:from>
        <xdr:to>
          <xdr:col>5</xdr:col>
          <xdr:colOff>0</xdr:colOff>
          <xdr:row>23</xdr:row>
          <xdr:rowOff>19050</xdr:rowOff>
        </xdr:to>
        <xdr:sp macro="" textlink="">
          <xdr:nvSpPr>
            <xdr:cNvPr id="19474" name="Check Box 18" hidden="1">
              <a:extLst>
                <a:ext uri="{63B3BB69-23CF-44E3-9099-C40C66FF867C}">
                  <a14:compatExt spid="_x0000_s19474"/>
                </a:ext>
                <a:ext uri="{FF2B5EF4-FFF2-40B4-BE49-F238E27FC236}">
                  <a16:creationId xmlns:a16="http://schemas.microsoft.com/office/drawing/2014/main" id="{00000000-0008-0000-0A00-000012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22</xdr:row>
          <xdr:rowOff>171450</xdr:rowOff>
        </xdr:from>
        <xdr:to>
          <xdr:col>5</xdr:col>
          <xdr:colOff>0</xdr:colOff>
          <xdr:row>24</xdr:row>
          <xdr:rowOff>19050</xdr:rowOff>
        </xdr:to>
        <xdr:sp macro="" textlink="">
          <xdr:nvSpPr>
            <xdr:cNvPr id="19475" name="Check Box 19" hidden="1">
              <a:extLst>
                <a:ext uri="{63B3BB69-23CF-44E3-9099-C40C66FF867C}">
                  <a14:compatExt spid="_x0000_s19475"/>
                </a:ext>
                <a:ext uri="{FF2B5EF4-FFF2-40B4-BE49-F238E27FC236}">
                  <a16:creationId xmlns:a16="http://schemas.microsoft.com/office/drawing/2014/main" id="{00000000-0008-0000-0A00-000013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23</xdr:row>
          <xdr:rowOff>171450</xdr:rowOff>
        </xdr:from>
        <xdr:to>
          <xdr:col>5</xdr:col>
          <xdr:colOff>0</xdr:colOff>
          <xdr:row>25</xdr:row>
          <xdr:rowOff>12700</xdr:rowOff>
        </xdr:to>
        <xdr:sp macro="" textlink="">
          <xdr:nvSpPr>
            <xdr:cNvPr id="19476" name="Check Box 20" hidden="1">
              <a:extLst>
                <a:ext uri="{63B3BB69-23CF-44E3-9099-C40C66FF867C}">
                  <a14:compatExt spid="_x0000_s19476"/>
                </a:ext>
                <a:ext uri="{FF2B5EF4-FFF2-40B4-BE49-F238E27FC236}">
                  <a16:creationId xmlns:a16="http://schemas.microsoft.com/office/drawing/2014/main" id="{00000000-0008-0000-0A00-000014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24</xdr:row>
          <xdr:rowOff>171450</xdr:rowOff>
        </xdr:from>
        <xdr:to>
          <xdr:col>5</xdr:col>
          <xdr:colOff>0</xdr:colOff>
          <xdr:row>26</xdr:row>
          <xdr:rowOff>6350</xdr:rowOff>
        </xdr:to>
        <xdr:sp macro="" textlink="">
          <xdr:nvSpPr>
            <xdr:cNvPr id="19477" name="Check Box 21" hidden="1">
              <a:extLst>
                <a:ext uri="{63B3BB69-23CF-44E3-9099-C40C66FF867C}">
                  <a14:compatExt spid="_x0000_s19477"/>
                </a:ext>
                <a:ext uri="{FF2B5EF4-FFF2-40B4-BE49-F238E27FC236}">
                  <a16:creationId xmlns:a16="http://schemas.microsoft.com/office/drawing/2014/main" id="{00000000-0008-0000-0A00-000015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25</xdr:row>
          <xdr:rowOff>171450</xdr:rowOff>
        </xdr:from>
        <xdr:to>
          <xdr:col>5</xdr:col>
          <xdr:colOff>0</xdr:colOff>
          <xdr:row>27</xdr:row>
          <xdr:rowOff>12700</xdr:rowOff>
        </xdr:to>
        <xdr:sp macro="" textlink="">
          <xdr:nvSpPr>
            <xdr:cNvPr id="19478" name="Check Box 22" hidden="1">
              <a:extLst>
                <a:ext uri="{63B3BB69-23CF-44E3-9099-C40C66FF867C}">
                  <a14:compatExt spid="_x0000_s19478"/>
                </a:ext>
                <a:ext uri="{FF2B5EF4-FFF2-40B4-BE49-F238E27FC236}">
                  <a16:creationId xmlns:a16="http://schemas.microsoft.com/office/drawing/2014/main" id="{00000000-0008-0000-0A00-000016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26</xdr:row>
          <xdr:rowOff>171450</xdr:rowOff>
        </xdr:from>
        <xdr:to>
          <xdr:col>5</xdr:col>
          <xdr:colOff>0</xdr:colOff>
          <xdr:row>28</xdr:row>
          <xdr:rowOff>12700</xdr:rowOff>
        </xdr:to>
        <xdr:sp macro="" textlink="">
          <xdr:nvSpPr>
            <xdr:cNvPr id="19479" name="Check Box 23" hidden="1">
              <a:extLst>
                <a:ext uri="{63B3BB69-23CF-44E3-9099-C40C66FF867C}">
                  <a14:compatExt spid="_x0000_s19479"/>
                </a:ext>
                <a:ext uri="{FF2B5EF4-FFF2-40B4-BE49-F238E27FC236}">
                  <a16:creationId xmlns:a16="http://schemas.microsoft.com/office/drawing/2014/main" id="{00000000-0008-0000-0A00-000017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27</xdr:row>
          <xdr:rowOff>171450</xdr:rowOff>
        </xdr:from>
        <xdr:to>
          <xdr:col>5</xdr:col>
          <xdr:colOff>0</xdr:colOff>
          <xdr:row>29</xdr:row>
          <xdr:rowOff>12700</xdr:rowOff>
        </xdr:to>
        <xdr:sp macro="" textlink="">
          <xdr:nvSpPr>
            <xdr:cNvPr id="19480" name="Check Box 24" hidden="1">
              <a:extLst>
                <a:ext uri="{63B3BB69-23CF-44E3-9099-C40C66FF867C}">
                  <a14:compatExt spid="_x0000_s19480"/>
                </a:ext>
                <a:ext uri="{FF2B5EF4-FFF2-40B4-BE49-F238E27FC236}">
                  <a16:creationId xmlns:a16="http://schemas.microsoft.com/office/drawing/2014/main" id="{00000000-0008-0000-0A00-000018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28</xdr:row>
          <xdr:rowOff>171450</xdr:rowOff>
        </xdr:from>
        <xdr:to>
          <xdr:col>5</xdr:col>
          <xdr:colOff>0</xdr:colOff>
          <xdr:row>30</xdr:row>
          <xdr:rowOff>19050</xdr:rowOff>
        </xdr:to>
        <xdr:sp macro="" textlink="">
          <xdr:nvSpPr>
            <xdr:cNvPr id="19481" name="Check Box 25" hidden="1">
              <a:extLst>
                <a:ext uri="{63B3BB69-23CF-44E3-9099-C40C66FF867C}">
                  <a14:compatExt spid="_x0000_s19481"/>
                </a:ext>
                <a:ext uri="{FF2B5EF4-FFF2-40B4-BE49-F238E27FC236}">
                  <a16:creationId xmlns:a16="http://schemas.microsoft.com/office/drawing/2014/main" id="{00000000-0008-0000-0A00-000019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29</xdr:row>
          <xdr:rowOff>171450</xdr:rowOff>
        </xdr:from>
        <xdr:to>
          <xdr:col>5</xdr:col>
          <xdr:colOff>0</xdr:colOff>
          <xdr:row>31</xdr:row>
          <xdr:rowOff>19050</xdr:rowOff>
        </xdr:to>
        <xdr:sp macro="" textlink="">
          <xdr:nvSpPr>
            <xdr:cNvPr id="19482" name="Check Box 26" hidden="1">
              <a:extLst>
                <a:ext uri="{63B3BB69-23CF-44E3-9099-C40C66FF867C}">
                  <a14:compatExt spid="_x0000_s19482"/>
                </a:ext>
                <a:ext uri="{FF2B5EF4-FFF2-40B4-BE49-F238E27FC236}">
                  <a16:creationId xmlns:a16="http://schemas.microsoft.com/office/drawing/2014/main" id="{00000000-0008-0000-0A00-00001A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30</xdr:row>
          <xdr:rowOff>171450</xdr:rowOff>
        </xdr:from>
        <xdr:to>
          <xdr:col>5</xdr:col>
          <xdr:colOff>0</xdr:colOff>
          <xdr:row>32</xdr:row>
          <xdr:rowOff>19050</xdr:rowOff>
        </xdr:to>
        <xdr:sp macro="" textlink="">
          <xdr:nvSpPr>
            <xdr:cNvPr id="19483" name="Check Box 27" hidden="1">
              <a:extLst>
                <a:ext uri="{63B3BB69-23CF-44E3-9099-C40C66FF867C}">
                  <a14:compatExt spid="_x0000_s19483"/>
                </a:ext>
                <a:ext uri="{FF2B5EF4-FFF2-40B4-BE49-F238E27FC236}">
                  <a16:creationId xmlns:a16="http://schemas.microsoft.com/office/drawing/2014/main" id="{00000000-0008-0000-0A00-00001B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31</xdr:row>
          <xdr:rowOff>171450</xdr:rowOff>
        </xdr:from>
        <xdr:to>
          <xdr:col>5</xdr:col>
          <xdr:colOff>0</xdr:colOff>
          <xdr:row>33</xdr:row>
          <xdr:rowOff>12700</xdr:rowOff>
        </xdr:to>
        <xdr:sp macro="" textlink="">
          <xdr:nvSpPr>
            <xdr:cNvPr id="19484" name="Check Box 28" hidden="1">
              <a:extLst>
                <a:ext uri="{63B3BB69-23CF-44E3-9099-C40C66FF867C}">
                  <a14:compatExt spid="_x0000_s19484"/>
                </a:ext>
                <a:ext uri="{FF2B5EF4-FFF2-40B4-BE49-F238E27FC236}">
                  <a16:creationId xmlns:a16="http://schemas.microsoft.com/office/drawing/2014/main" id="{00000000-0008-0000-0A00-00001C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xdr:row>
          <xdr:rowOff>171450</xdr:rowOff>
        </xdr:from>
        <xdr:to>
          <xdr:col>8</xdr:col>
          <xdr:colOff>533400</xdr:colOff>
          <xdr:row>4</xdr:row>
          <xdr:rowOff>6350</xdr:rowOff>
        </xdr:to>
        <xdr:sp macro="" textlink="">
          <xdr:nvSpPr>
            <xdr:cNvPr id="19485" name="Check Box 29" hidden="1">
              <a:extLst>
                <a:ext uri="{63B3BB69-23CF-44E3-9099-C40C66FF867C}">
                  <a14:compatExt spid="_x0000_s19485"/>
                </a:ext>
                <a:ext uri="{FF2B5EF4-FFF2-40B4-BE49-F238E27FC236}">
                  <a16:creationId xmlns:a16="http://schemas.microsoft.com/office/drawing/2014/main" id="{00000000-0008-0000-0A00-00001D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xdr:row>
          <xdr:rowOff>171450</xdr:rowOff>
        </xdr:from>
        <xdr:to>
          <xdr:col>8</xdr:col>
          <xdr:colOff>533400</xdr:colOff>
          <xdr:row>5</xdr:row>
          <xdr:rowOff>12700</xdr:rowOff>
        </xdr:to>
        <xdr:sp macro="" textlink="">
          <xdr:nvSpPr>
            <xdr:cNvPr id="19486" name="Check Box 30" hidden="1">
              <a:extLst>
                <a:ext uri="{63B3BB69-23CF-44E3-9099-C40C66FF867C}">
                  <a14:compatExt spid="_x0000_s19486"/>
                </a:ext>
                <a:ext uri="{FF2B5EF4-FFF2-40B4-BE49-F238E27FC236}">
                  <a16:creationId xmlns:a16="http://schemas.microsoft.com/office/drawing/2014/main" id="{00000000-0008-0000-0A00-00001E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xdr:row>
          <xdr:rowOff>171450</xdr:rowOff>
        </xdr:from>
        <xdr:to>
          <xdr:col>8</xdr:col>
          <xdr:colOff>533400</xdr:colOff>
          <xdr:row>6</xdr:row>
          <xdr:rowOff>12700</xdr:rowOff>
        </xdr:to>
        <xdr:sp macro="" textlink="">
          <xdr:nvSpPr>
            <xdr:cNvPr id="19487" name="Check Box 31" hidden="1">
              <a:extLst>
                <a:ext uri="{63B3BB69-23CF-44E3-9099-C40C66FF867C}">
                  <a14:compatExt spid="_x0000_s19487"/>
                </a:ext>
                <a:ext uri="{FF2B5EF4-FFF2-40B4-BE49-F238E27FC236}">
                  <a16:creationId xmlns:a16="http://schemas.microsoft.com/office/drawing/2014/main" id="{00000000-0008-0000-0A00-00001F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5</xdr:row>
          <xdr:rowOff>171450</xdr:rowOff>
        </xdr:from>
        <xdr:to>
          <xdr:col>8</xdr:col>
          <xdr:colOff>533400</xdr:colOff>
          <xdr:row>7</xdr:row>
          <xdr:rowOff>12700</xdr:rowOff>
        </xdr:to>
        <xdr:sp macro="" textlink="">
          <xdr:nvSpPr>
            <xdr:cNvPr id="19488" name="Check Box 32" hidden="1">
              <a:extLst>
                <a:ext uri="{63B3BB69-23CF-44E3-9099-C40C66FF867C}">
                  <a14:compatExt spid="_x0000_s19488"/>
                </a:ext>
                <a:ext uri="{FF2B5EF4-FFF2-40B4-BE49-F238E27FC236}">
                  <a16:creationId xmlns:a16="http://schemas.microsoft.com/office/drawing/2014/main" id="{00000000-0008-0000-0A00-000020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xdr:row>
          <xdr:rowOff>171450</xdr:rowOff>
        </xdr:from>
        <xdr:to>
          <xdr:col>8</xdr:col>
          <xdr:colOff>533400</xdr:colOff>
          <xdr:row>8</xdr:row>
          <xdr:rowOff>19050</xdr:rowOff>
        </xdr:to>
        <xdr:sp macro="" textlink="">
          <xdr:nvSpPr>
            <xdr:cNvPr id="19489" name="Check Box 33" hidden="1">
              <a:extLst>
                <a:ext uri="{63B3BB69-23CF-44E3-9099-C40C66FF867C}">
                  <a14:compatExt spid="_x0000_s19489"/>
                </a:ext>
                <a:ext uri="{FF2B5EF4-FFF2-40B4-BE49-F238E27FC236}">
                  <a16:creationId xmlns:a16="http://schemas.microsoft.com/office/drawing/2014/main" id="{00000000-0008-0000-0A00-000021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xdr:row>
          <xdr:rowOff>171450</xdr:rowOff>
        </xdr:from>
        <xdr:to>
          <xdr:col>8</xdr:col>
          <xdr:colOff>533400</xdr:colOff>
          <xdr:row>9</xdr:row>
          <xdr:rowOff>19050</xdr:rowOff>
        </xdr:to>
        <xdr:sp macro="" textlink="">
          <xdr:nvSpPr>
            <xdr:cNvPr id="19490" name="Check Box 34" hidden="1">
              <a:extLst>
                <a:ext uri="{63B3BB69-23CF-44E3-9099-C40C66FF867C}">
                  <a14:compatExt spid="_x0000_s19490"/>
                </a:ext>
                <a:ext uri="{FF2B5EF4-FFF2-40B4-BE49-F238E27FC236}">
                  <a16:creationId xmlns:a16="http://schemas.microsoft.com/office/drawing/2014/main" id="{00000000-0008-0000-0A00-000022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171450</xdr:rowOff>
        </xdr:from>
        <xdr:to>
          <xdr:col>8</xdr:col>
          <xdr:colOff>533400</xdr:colOff>
          <xdr:row>10</xdr:row>
          <xdr:rowOff>19050</xdr:rowOff>
        </xdr:to>
        <xdr:sp macro="" textlink="">
          <xdr:nvSpPr>
            <xdr:cNvPr id="19491" name="Check Box 35" hidden="1">
              <a:extLst>
                <a:ext uri="{63B3BB69-23CF-44E3-9099-C40C66FF867C}">
                  <a14:compatExt spid="_x0000_s19491"/>
                </a:ext>
                <a:ext uri="{FF2B5EF4-FFF2-40B4-BE49-F238E27FC236}">
                  <a16:creationId xmlns:a16="http://schemas.microsoft.com/office/drawing/2014/main" id="{00000000-0008-0000-0A00-000023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171450</xdr:rowOff>
        </xdr:from>
        <xdr:to>
          <xdr:col>8</xdr:col>
          <xdr:colOff>533400</xdr:colOff>
          <xdr:row>11</xdr:row>
          <xdr:rowOff>12700</xdr:rowOff>
        </xdr:to>
        <xdr:sp macro="" textlink="">
          <xdr:nvSpPr>
            <xdr:cNvPr id="19492" name="Check Box 36" hidden="1">
              <a:extLst>
                <a:ext uri="{63B3BB69-23CF-44E3-9099-C40C66FF867C}">
                  <a14:compatExt spid="_x0000_s19492"/>
                </a:ext>
                <a:ext uri="{FF2B5EF4-FFF2-40B4-BE49-F238E27FC236}">
                  <a16:creationId xmlns:a16="http://schemas.microsoft.com/office/drawing/2014/main" id="{00000000-0008-0000-0A00-000024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15</xdr:row>
          <xdr:rowOff>171450</xdr:rowOff>
        </xdr:from>
        <xdr:to>
          <xdr:col>8</xdr:col>
          <xdr:colOff>533400</xdr:colOff>
          <xdr:row>17</xdr:row>
          <xdr:rowOff>6350</xdr:rowOff>
        </xdr:to>
        <xdr:sp macro="" textlink="">
          <xdr:nvSpPr>
            <xdr:cNvPr id="19498" name="Check Box 42" hidden="1">
              <a:extLst>
                <a:ext uri="{63B3BB69-23CF-44E3-9099-C40C66FF867C}">
                  <a14:compatExt spid="_x0000_s19498"/>
                </a:ext>
                <a:ext uri="{FF2B5EF4-FFF2-40B4-BE49-F238E27FC236}">
                  <a16:creationId xmlns:a16="http://schemas.microsoft.com/office/drawing/2014/main" id="{00000000-0008-0000-0A00-00002A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16</xdr:row>
          <xdr:rowOff>171450</xdr:rowOff>
        </xdr:from>
        <xdr:to>
          <xdr:col>8</xdr:col>
          <xdr:colOff>533400</xdr:colOff>
          <xdr:row>18</xdr:row>
          <xdr:rowOff>12700</xdr:rowOff>
        </xdr:to>
        <xdr:sp macro="" textlink="">
          <xdr:nvSpPr>
            <xdr:cNvPr id="19499" name="Check Box 43" hidden="1">
              <a:extLst>
                <a:ext uri="{63B3BB69-23CF-44E3-9099-C40C66FF867C}">
                  <a14:compatExt spid="_x0000_s19499"/>
                </a:ext>
                <a:ext uri="{FF2B5EF4-FFF2-40B4-BE49-F238E27FC236}">
                  <a16:creationId xmlns:a16="http://schemas.microsoft.com/office/drawing/2014/main" id="{00000000-0008-0000-0A00-00002B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17</xdr:row>
          <xdr:rowOff>171450</xdr:rowOff>
        </xdr:from>
        <xdr:to>
          <xdr:col>8</xdr:col>
          <xdr:colOff>533400</xdr:colOff>
          <xdr:row>19</xdr:row>
          <xdr:rowOff>12700</xdr:rowOff>
        </xdr:to>
        <xdr:sp macro="" textlink="">
          <xdr:nvSpPr>
            <xdr:cNvPr id="19500" name="Check Box 44" hidden="1">
              <a:extLst>
                <a:ext uri="{63B3BB69-23CF-44E3-9099-C40C66FF867C}">
                  <a14:compatExt spid="_x0000_s19500"/>
                </a:ext>
                <a:ext uri="{FF2B5EF4-FFF2-40B4-BE49-F238E27FC236}">
                  <a16:creationId xmlns:a16="http://schemas.microsoft.com/office/drawing/2014/main" id="{00000000-0008-0000-0A00-00002C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18</xdr:row>
          <xdr:rowOff>171450</xdr:rowOff>
        </xdr:from>
        <xdr:to>
          <xdr:col>8</xdr:col>
          <xdr:colOff>533400</xdr:colOff>
          <xdr:row>20</xdr:row>
          <xdr:rowOff>12700</xdr:rowOff>
        </xdr:to>
        <xdr:sp macro="" textlink="">
          <xdr:nvSpPr>
            <xdr:cNvPr id="19501" name="Check Box 45" hidden="1">
              <a:extLst>
                <a:ext uri="{63B3BB69-23CF-44E3-9099-C40C66FF867C}">
                  <a14:compatExt spid="_x0000_s19501"/>
                </a:ext>
                <a:ext uri="{FF2B5EF4-FFF2-40B4-BE49-F238E27FC236}">
                  <a16:creationId xmlns:a16="http://schemas.microsoft.com/office/drawing/2014/main" id="{00000000-0008-0000-0A00-00002D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19</xdr:row>
          <xdr:rowOff>171450</xdr:rowOff>
        </xdr:from>
        <xdr:to>
          <xdr:col>8</xdr:col>
          <xdr:colOff>533400</xdr:colOff>
          <xdr:row>21</xdr:row>
          <xdr:rowOff>19050</xdr:rowOff>
        </xdr:to>
        <xdr:sp macro="" textlink="">
          <xdr:nvSpPr>
            <xdr:cNvPr id="19502" name="Check Box 46" hidden="1">
              <a:extLst>
                <a:ext uri="{63B3BB69-23CF-44E3-9099-C40C66FF867C}">
                  <a14:compatExt spid="_x0000_s19502"/>
                </a:ext>
                <a:ext uri="{FF2B5EF4-FFF2-40B4-BE49-F238E27FC236}">
                  <a16:creationId xmlns:a16="http://schemas.microsoft.com/office/drawing/2014/main" id="{00000000-0008-0000-0A00-00002E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20</xdr:row>
          <xdr:rowOff>171450</xdr:rowOff>
        </xdr:from>
        <xdr:to>
          <xdr:col>8</xdr:col>
          <xdr:colOff>533400</xdr:colOff>
          <xdr:row>22</xdr:row>
          <xdr:rowOff>19050</xdr:rowOff>
        </xdr:to>
        <xdr:sp macro="" textlink="">
          <xdr:nvSpPr>
            <xdr:cNvPr id="19503" name="Check Box 47" hidden="1">
              <a:extLst>
                <a:ext uri="{63B3BB69-23CF-44E3-9099-C40C66FF867C}">
                  <a14:compatExt spid="_x0000_s19503"/>
                </a:ext>
                <a:ext uri="{FF2B5EF4-FFF2-40B4-BE49-F238E27FC236}">
                  <a16:creationId xmlns:a16="http://schemas.microsoft.com/office/drawing/2014/main" id="{00000000-0008-0000-0A00-00002F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27</xdr:row>
          <xdr:rowOff>171450</xdr:rowOff>
        </xdr:from>
        <xdr:to>
          <xdr:col>8</xdr:col>
          <xdr:colOff>533400</xdr:colOff>
          <xdr:row>29</xdr:row>
          <xdr:rowOff>12700</xdr:rowOff>
        </xdr:to>
        <xdr:sp macro="" textlink="">
          <xdr:nvSpPr>
            <xdr:cNvPr id="19507" name="Check Box 51" hidden="1">
              <a:extLst>
                <a:ext uri="{63B3BB69-23CF-44E3-9099-C40C66FF867C}">
                  <a14:compatExt spid="_x0000_s19507"/>
                </a:ext>
                <a:ext uri="{FF2B5EF4-FFF2-40B4-BE49-F238E27FC236}">
                  <a16:creationId xmlns:a16="http://schemas.microsoft.com/office/drawing/2014/main" id="{00000000-0008-0000-0A00-000033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28</xdr:row>
          <xdr:rowOff>171450</xdr:rowOff>
        </xdr:from>
        <xdr:to>
          <xdr:col>8</xdr:col>
          <xdr:colOff>533400</xdr:colOff>
          <xdr:row>30</xdr:row>
          <xdr:rowOff>19050</xdr:rowOff>
        </xdr:to>
        <xdr:sp macro="" textlink="">
          <xdr:nvSpPr>
            <xdr:cNvPr id="19508" name="Check Box 52" hidden="1">
              <a:extLst>
                <a:ext uri="{63B3BB69-23CF-44E3-9099-C40C66FF867C}">
                  <a14:compatExt spid="_x0000_s19508"/>
                </a:ext>
                <a:ext uri="{FF2B5EF4-FFF2-40B4-BE49-F238E27FC236}">
                  <a16:creationId xmlns:a16="http://schemas.microsoft.com/office/drawing/2014/main" id="{00000000-0008-0000-0A00-000034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29</xdr:row>
          <xdr:rowOff>171450</xdr:rowOff>
        </xdr:from>
        <xdr:to>
          <xdr:col>8</xdr:col>
          <xdr:colOff>533400</xdr:colOff>
          <xdr:row>31</xdr:row>
          <xdr:rowOff>19050</xdr:rowOff>
        </xdr:to>
        <xdr:sp macro="" textlink="">
          <xdr:nvSpPr>
            <xdr:cNvPr id="19509" name="Check Box 53" hidden="1">
              <a:extLst>
                <a:ext uri="{63B3BB69-23CF-44E3-9099-C40C66FF867C}">
                  <a14:compatExt spid="_x0000_s19509"/>
                </a:ext>
                <a:ext uri="{FF2B5EF4-FFF2-40B4-BE49-F238E27FC236}">
                  <a16:creationId xmlns:a16="http://schemas.microsoft.com/office/drawing/2014/main" id="{00000000-0008-0000-0A00-000035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30</xdr:row>
          <xdr:rowOff>171450</xdr:rowOff>
        </xdr:from>
        <xdr:to>
          <xdr:col>8</xdr:col>
          <xdr:colOff>533400</xdr:colOff>
          <xdr:row>32</xdr:row>
          <xdr:rowOff>19050</xdr:rowOff>
        </xdr:to>
        <xdr:sp macro="" textlink="">
          <xdr:nvSpPr>
            <xdr:cNvPr id="19510" name="Check Box 54" hidden="1">
              <a:extLst>
                <a:ext uri="{63B3BB69-23CF-44E3-9099-C40C66FF867C}">
                  <a14:compatExt spid="_x0000_s19510"/>
                </a:ext>
                <a:ext uri="{FF2B5EF4-FFF2-40B4-BE49-F238E27FC236}">
                  <a16:creationId xmlns:a16="http://schemas.microsoft.com/office/drawing/2014/main" id="{00000000-0008-0000-0A00-000036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31</xdr:row>
          <xdr:rowOff>171450</xdr:rowOff>
        </xdr:from>
        <xdr:to>
          <xdr:col>8</xdr:col>
          <xdr:colOff>533400</xdr:colOff>
          <xdr:row>33</xdr:row>
          <xdr:rowOff>12700</xdr:rowOff>
        </xdr:to>
        <xdr:sp macro="" textlink="">
          <xdr:nvSpPr>
            <xdr:cNvPr id="19511" name="Check Box 55" hidden="1">
              <a:extLst>
                <a:ext uri="{63B3BB69-23CF-44E3-9099-C40C66FF867C}">
                  <a14:compatExt spid="_x0000_s19511"/>
                </a:ext>
                <a:ext uri="{FF2B5EF4-FFF2-40B4-BE49-F238E27FC236}">
                  <a16:creationId xmlns:a16="http://schemas.microsoft.com/office/drawing/2014/main" id="{00000000-0008-0000-0A00-000037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xdr:row>
          <xdr:rowOff>171450</xdr:rowOff>
        </xdr:from>
        <xdr:to>
          <xdr:col>13</xdr:col>
          <xdr:colOff>285750</xdr:colOff>
          <xdr:row>7</xdr:row>
          <xdr:rowOff>12700</xdr:rowOff>
        </xdr:to>
        <xdr:sp macro="" textlink="">
          <xdr:nvSpPr>
            <xdr:cNvPr id="19512" name="Check Box 56" hidden="1">
              <a:extLst>
                <a:ext uri="{63B3BB69-23CF-44E3-9099-C40C66FF867C}">
                  <a14:compatExt spid="_x0000_s19512"/>
                </a:ext>
                <a:ext uri="{FF2B5EF4-FFF2-40B4-BE49-F238E27FC236}">
                  <a16:creationId xmlns:a16="http://schemas.microsoft.com/office/drawing/2014/main" id="{00000000-0008-0000-0A00-000038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xdr:row>
          <xdr:rowOff>171450</xdr:rowOff>
        </xdr:from>
        <xdr:to>
          <xdr:col>13</xdr:col>
          <xdr:colOff>285750</xdr:colOff>
          <xdr:row>8</xdr:row>
          <xdr:rowOff>19050</xdr:rowOff>
        </xdr:to>
        <xdr:sp macro="" textlink="">
          <xdr:nvSpPr>
            <xdr:cNvPr id="19513" name="Check Box 57" hidden="1">
              <a:extLst>
                <a:ext uri="{63B3BB69-23CF-44E3-9099-C40C66FF867C}">
                  <a14:compatExt spid="_x0000_s19513"/>
                </a:ext>
                <a:ext uri="{FF2B5EF4-FFF2-40B4-BE49-F238E27FC236}">
                  <a16:creationId xmlns:a16="http://schemas.microsoft.com/office/drawing/2014/main" id="{00000000-0008-0000-0A00-000039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xdr:row>
          <xdr:rowOff>171450</xdr:rowOff>
        </xdr:from>
        <xdr:to>
          <xdr:col>13</xdr:col>
          <xdr:colOff>285750</xdr:colOff>
          <xdr:row>9</xdr:row>
          <xdr:rowOff>19050</xdr:rowOff>
        </xdr:to>
        <xdr:sp macro="" textlink="">
          <xdr:nvSpPr>
            <xdr:cNvPr id="19514" name="Check Box 58" hidden="1">
              <a:extLst>
                <a:ext uri="{63B3BB69-23CF-44E3-9099-C40C66FF867C}">
                  <a14:compatExt spid="_x0000_s19514"/>
                </a:ext>
                <a:ext uri="{FF2B5EF4-FFF2-40B4-BE49-F238E27FC236}">
                  <a16:creationId xmlns:a16="http://schemas.microsoft.com/office/drawing/2014/main" id="{00000000-0008-0000-0A00-00003A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xdr:row>
          <xdr:rowOff>171450</xdr:rowOff>
        </xdr:from>
        <xdr:to>
          <xdr:col>13</xdr:col>
          <xdr:colOff>285750</xdr:colOff>
          <xdr:row>10</xdr:row>
          <xdr:rowOff>19050</xdr:rowOff>
        </xdr:to>
        <xdr:sp macro="" textlink="">
          <xdr:nvSpPr>
            <xdr:cNvPr id="19515" name="Check Box 59" hidden="1">
              <a:extLst>
                <a:ext uri="{63B3BB69-23CF-44E3-9099-C40C66FF867C}">
                  <a14:compatExt spid="_x0000_s19515"/>
                </a:ext>
                <a:ext uri="{FF2B5EF4-FFF2-40B4-BE49-F238E27FC236}">
                  <a16:creationId xmlns:a16="http://schemas.microsoft.com/office/drawing/2014/main" id="{00000000-0008-0000-0A00-00003B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xdr:row>
          <xdr:rowOff>171450</xdr:rowOff>
        </xdr:from>
        <xdr:to>
          <xdr:col>13</xdr:col>
          <xdr:colOff>285750</xdr:colOff>
          <xdr:row>11</xdr:row>
          <xdr:rowOff>12700</xdr:rowOff>
        </xdr:to>
        <xdr:sp macro="" textlink="">
          <xdr:nvSpPr>
            <xdr:cNvPr id="19516" name="Check Box 60" hidden="1">
              <a:extLst>
                <a:ext uri="{63B3BB69-23CF-44E3-9099-C40C66FF867C}">
                  <a14:compatExt spid="_x0000_s19516"/>
                </a:ext>
                <a:ext uri="{FF2B5EF4-FFF2-40B4-BE49-F238E27FC236}">
                  <a16:creationId xmlns:a16="http://schemas.microsoft.com/office/drawing/2014/main" id="{00000000-0008-0000-0A00-00003C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xdr:row>
          <xdr:rowOff>171450</xdr:rowOff>
        </xdr:from>
        <xdr:to>
          <xdr:col>13</xdr:col>
          <xdr:colOff>285750</xdr:colOff>
          <xdr:row>12</xdr:row>
          <xdr:rowOff>6350</xdr:rowOff>
        </xdr:to>
        <xdr:sp macro="" textlink="">
          <xdr:nvSpPr>
            <xdr:cNvPr id="19517" name="Check Box 61" hidden="1">
              <a:extLst>
                <a:ext uri="{63B3BB69-23CF-44E3-9099-C40C66FF867C}">
                  <a14:compatExt spid="_x0000_s19517"/>
                </a:ext>
                <a:ext uri="{FF2B5EF4-FFF2-40B4-BE49-F238E27FC236}">
                  <a16:creationId xmlns:a16="http://schemas.microsoft.com/office/drawing/2014/main" id="{00000000-0008-0000-0A00-00003D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xdr:row>
          <xdr:rowOff>171450</xdr:rowOff>
        </xdr:from>
        <xdr:to>
          <xdr:col>13</xdr:col>
          <xdr:colOff>285750</xdr:colOff>
          <xdr:row>13</xdr:row>
          <xdr:rowOff>6350</xdr:rowOff>
        </xdr:to>
        <xdr:sp macro="" textlink="">
          <xdr:nvSpPr>
            <xdr:cNvPr id="19518" name="Check Box 62" hidden="1">
              <a:extLst>
                <a:ext uri="{63B3BB69-23CF-44E3-9099-C40C66FF867C}">
                  <a14:compatExt spid="_x0000_s19518"/>
                </a:ext>
                <a:ext uri="{FF2B5EF4-FFF2-40B4-BE49-F238E27FC236}">
                  <a16:creationId xmlns:a16="http://schemas.microsoft.com/office/drawing/2014/main" id="{00000000-0008-0000-0A00-00003E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xdr:row>
          <xdr:rowOff>177800</xdr:rowOff>
        </xdr:from>
        <xdr:to>
          <xdr:col>13</xdr:col>
          <xdr:colOff>285750</xdr:colOff>
          <xdr:row>4</xdr:row>
          <xdr:rowOff>12700</xdr:rowOff>
        </xdr:to>
        <xdr:sp macro="" textlink="">
          <xdr:nvSpPr>
            <xdr:cNvPr id="19519" name="Check Box 63" hidden="1">
              <a:extLst>
                <a:ext uri="{63B3BB69-23CF-44E3-9099-C40C66FF867C}">
                  <a14:compatExt spid="_x0000_s19519"/>
                </a:ext>
                <a:ext uri="{FF2B5EF4-FFF2-40B4-BE49-F238E27FC236}">
                  <a16:creationId xmlns:a16="http://schemas.microsoft.com/office/drawing/2014/main" id="{00000000-0008-0000-0A00-00003F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xdr:row>
          <xdr:rowOff>177800</xdr:rowOff>
        </xdr:from>
        <xdr:to>
          <xdr:col>13</xdr:col>
          <xdr:colOff>285750</xdr:colOff>
          <xdr:row>5</xdr:row>
          <xdr:rowOff>19050</xdr:rowOff>
        </xdr:to>
        <xdr:sp macro="" textlink="">
          <xdr:nvSpPr>
            <xdr:cNvPr id="19520" name="Check Box 64" hidden="1">
              <a:extLst>
                <a:ext uri="{63B3BB69-23CF-44E3-9099-C40C66FF867C}">
                  <a14:compatExt spid="_x0000_s19520"/>
                </a:ext>
                <a:ext uri="{FF2B5EF4-FFF2-40B4-BE49-F238E27FC236}">
                  <a16:creationId xmlns:a16="http://schemas.microsoft.com/office/drawing/2014/main" id="{00000000-0008-0000-0A00-000040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xdr:row>
          <xdr:rowOff>177800</xdr:rowOff>
        </xdr:from>
        <xdr:to>
          <xdr:col>13</xdr:col>
          <xdr:colOff>285750</xdr:colOff>
          <xdr:row>6</xdr:row>
          <xdr:rowOff>19050</xdr:rowOff>
        </xdr:to>
        <xdr:sp macro="" textlink="">
          <xdr:nvSpPr>
            <xdr:cNvPr id="19521" name="Check Box 65" hidden="1">
              <a:extLst>
                <a:ext uri="{63B3BB69-23CF-44E3-9099-C40C66FF867C}">
                  <a14:compatExt spid="_x0000_s19521"/>
                </a:ext>
                <a:ext uri="{FF2B5EF4-FFF2-40B4-BE49-F238E27FC236}">
                  <a16:creationId xmlns:a16="http://schemas.microsoft.com/office/drawing/2014/main" id="{00000000-0008-0000-0A00-000041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18</xdr:row>
          <xdr:rowOff>171450</xdr:rowOff>
        </xdr:from>
        <xdr:to>
          <xdr:col>13</xdr:col>
          <xdr:colOff>285750</xdr:colOff>
          <xdr:row>20</xdr:row>
          <xdr:rowOff>12700</xdr:rowOff>
        </xdr:to>
        <xdr:sp macro="" textlink="">
          <xdr:nvSpPr>
            <xdr:cNvPr id="19525" name="Check Box 69" hidden="1">
              <a:extLst>
                <a:ext uri="{63B3BB69-23CF-44E3-9099-C40C66FF867C}">
                  <a14:compatExt spid="_x0000_s19525"/>
                </a:ext>
                <a:ext uri="{FF2B5EF4-FFF2-40B4-BE49-F238E27FC236}">
                  <a16:creationId xmlns:a16="http://schemas.microsoft.com/office/drawing/2014/main" id="{00000000-0008-0000-0A00-000045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19</xdr:row>
          <xdr:rowOff>171450</xdr:rowOff>
        </xdr:from>
        <xdr:to>
          <xdr:col>13</xdr:col>
          <xdr:colOff>285750</xdr:colOff>
          <xdr:row>21</xdr:row>
          <xdr:rowOff>19050</xdr:rowOff>
        </xdr:to>
        <xdr:sp macro="" textlink="">
          <xdr:nvSpPr>
            <xdr:cNvPr id="19526" name="Check Box 70" hidden="1">
              <a:extLst>
                <a:ext uri="{63B3BB69-23CF-44E3-9099-C40C66FF867C}">
                  <a14:compatExt spid="_x0000_s19526"/>
                </a:ext>
                <a:ext uri="{FF2B5EF4-FFF2-40B4-BE49-F238E27FC236}">
                  <a16:creationId xmlns:a16="http://schemas.microsoft.com/office/drawing/2014/main" id="{00000000-0008-0000-0A00-000046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20</xdr:row>
          <xdr:rowOff>171450</xdr:rowOff>
        </xdr:from>
        <xdr:to>
          <xdr:col>13</xdr:col>
          <xdr:colOff>285750</xdr:colOff>
          <xdr:row>22</xdr:row>
          <xdr:rowOff>19050</xdr:rowOff>
        </xdr:to>
        <xdr:sp macro="" textlink="">
          <xdr:nvSpPr>
            <xdr:cNvPr id="19527" name="Check Box 71" hidden="1">
              <a:extLst>
                <a:ext uri="{63B3BB69-23CF-44E3-9099-C40C66FF867C}">
                  <a14:compatExt spid="_x0000_s19527"/>
                </a:ext>
                <a:ext uri="{FF2B5EF4-FFF2-40B4-BE49-F238E27FC236}">
                  <a16:creationId xmlns:a16="http://schemas.microsoft.com/office/drawing/2014/main" id="{00000000-0008-0000-0A00-000047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21</xdr:row>
          <xdr:rowOff>171450</xdr:rowOff>
        </xdr:from>
        <xdr:to>
          <xdr:col>13</xdr:col>
          <xdr:colOff>285750</xdr:colOff>
          <xdr:row>23</xdr:row>
          <xdr:rowOff>19050</xdr:rowOff>
        </xdr:to>
        <xdr:sp macro="" textlink="">
          <xdr:nvSpPr>
            <xdr:cNvPr id="19528" name="Check Box 72" hidden="1">
              <a:extLst>
                <a:ext uri="{63B3BB69-23CF-44E3-9099-C40C66FF867C}">
                  <a14:compatExt spid="_x0000_s19528"/>
                </a:ext>
                <a:ext uri="{FF2B5EF4-FFF2-40B4-BE49-F238E27FC236}">
                  <a16:creationId xmlns:a16="http://schemas.microsoft.com/office/drawing/2014/main" id="{00000000-0008-0000-0A00-000048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22</xdr:row>
          <xdr:rowOff>171450</xdr:rowOff>
        </xdr:from>
        <xdr:to>
          <xdr:col>13</xdr:col>
          <xdr:colOff>285750</xdr:colOff>
          <xdr:row>24</xdr:row>
          <xdr:rowOff>19050</xdr:rowOff>
        </xdr:to>
        <xdr:sp macro="" textlink="">
          <xdr:nvSpPr>
            <xdr:cNvPr id="19529" name="Check Box 73" hidden="1">
              <a:extLst>
                <a:ext uri="{63B3BB69-23CF-44E3-9099-C40C66FF867C}">
                  <a14:compatExt spid="_x0000_s19529"/>
                </a:ext>
                <a:ext uri="{FF2B5EF4-FFF2-40B4-BE49-F238E27FC236}">
                  <a16:creationId xmlns:a16="http://schemas.microsoft.com/office/drawing/2014/main" id="{00000000-0008-0000-0A00-000049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23</xdr:row>
          <xdr:rowOff>171450</xdr:rowOff>
        </xdr:from>
        <xdr:to>
          <xdr:col>13</xdr:col>
          <xdr:colOff>285750</xdr:colOff>
          <xdr:row>25</xdr:row>
          <xdr:rowOff>12700</xdr:rowOff>
        </xdr:to>
        <xdr:sp macro="" textlink="">
          <xdr:nvSpPr>
            <xdr:cNvPr id="19530" name="Check Box 74" hidden="1">
              <a:extLst>
                <a:ext uri="{63B3BB69-23CF-44E3-9099-C40C66FF867C}">
                  <a14:compatExt spid="_x0000_s19530"/>
                </a:ext>
                <a:ext uri="{FF2B5EF4-FFF2-40B4-BE49-F238E27FC236}">
                  <a16:creationId xmlns:a16="http://schemas.microsoft.com/office/drawing/2014/main" id="{00000000-0008-0000-0A00-00004A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24</xdr:row>
          <xdr:rowOff>171450</xdr:rowOff>
        </xdr:from>
        <xdr:to>
          <xdr:col>13</xdr:col>
          <xdr:colOff>285750</xdr:colOff>
          <xdr:row>26</xdr:row>
          <xdr:rowOff>6350</xdr:rowOff>
        </xdr:to>
        <xdr:sp macro="" textlink="">
          <xdr:nvSpPr>
            <xdr:cNvPr id="19531" name="Check Box 75" hidden="1">
              <a:extLst>
                <a:ext uri="{63B3BB69-23CF-44E3-9099-C40C66FF867C}">
                  <a14:compatExt spid="_x0000_s19531"/>
                </a:ext>
                <a:ext uri="{FF2B5EF4-FFF2-40B4-BE49-F238E27FC236}">
                  <a16:creationId xmlns:a16="http://schemas.microsoft.com/office/drawing/2014/main" id="{00000000-0008-0000-0A00-00004B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25</xdr:row>
          <xdr:rowOff>171450</xdr:rowOff>
        </xdr:from>
        <xdr:to>
          <xdr:col>13</xdr:col>
          <xdr:colOff>285750</xdr:colOff>
          <xdr:row>27</xdr:row>
          <xdr:rowOff>12700</xdr:rowOff>
        </xdr:to>
        <xdr:sp macro="" textlink="">
          <xdr:nvSpPr>
            <xdr:cNvPr id="19532" name="Check Box 76" hidden="1">
              <a:extLst>
                <a:ext uri="{63B3BB69-23CF-44E3-9099-C40C66FF867C}">
                  <a14:compatExt spid="_x0000_s19532"/>
                </a:ext>
                <a:ext uri="{FF2B5EF4-FFF2-40B4-BE49-F238E27FC236}">
                  <a16:creationId xmlns:a16="http://schemas.microsoft.com/office/drawing/2014/main" id="{00000000-0008-0000-0A00-00004C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26</xdr:row>
          <xdr:rowOff>171450</xdr:rowOff>
        </xdr:from>
        <xdr:to>
          <xdr:col>13</xdr:col>
          <xdr:colOff>285750</xdr:colOff>
          <xdr:row>28</xdr:row>
          <xdr:rowOff>12700</xdr:rowOff>
        </xdr:to>
        <xdr:sp macro="" textlink="">
          <xdr:nvSpPr>
            <xdr:cNvPr id="19533" name="Check Box 77" hidden="1">
              <a:extLst>
                <a:ext uri="{63B3BB69-23CF-44E3-9099-C40C66FF867C}">
                  <a14:compatExt spid="_x0000_s19533"/>
                </a:ext>
                <a:ext uri="{FF2B5EF4-FFF2-40B4-BE49-F238E27FC236}">
                  <a16:creationId xmlns:a16="http://schemas.microsoft.com/office/drawing/2014/main" id="{00000000-0008-0000-0A00-00004D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27</xdr:row>
          <xdr:rowOff>171450</xdr:rowOff>
        </xdr:from>
        <xdr:to>
          <xdr:col>13</xdr:col>
          <xdr:colOff>285750</xdr:colOff>
          <xdr:row>29</xdr:row>
          <xdr:rowOff>12700</xdr:rowOff>
        </xdr:to>
        <xdr:sp macro="" textlink="">
          <xdr:nvSpPr>
            <xdr:cNvPr id="19534" name="Check Box 78" hidden="1">
              <a:extLst>
                <a:ext uri="{63B3BB69-23CF-44E3-9099-C40C66FF867C}">
                  <a14:compatExt spid="_x0000_s19534"/>
                </a:ext>
                <a:ext uri="{FF2B5EF4-FFF2-40B4-BE49-F238E27FC236}">
                  <a16:creationId xmlns:a16="http://schemas.microsoft.com/office/drawing/2014/main" id="{00000000-0008-0000-0A00-00004E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28</xdr:row>
          <xdr:rowOff>171450</xdr:rowOff>
        </xdr:from>
        <xdr:to>
          <xdr:col>13</xdr:col>
          <xdr:colOff>285750</xdr:colOff>
          <xdr:row>30</xdr:row>
          <xdr:rowOff>19050</xdr:rowOff>
        </xdr:to>
        <xdr:sp macro="" textlink="">
          <xdr:nvSpPr>
            <xdr:cNvPr id="19535" name="Check Box 79" hidden="1">
              <a:extLst>
                <a:ext uri="{63B3BB69-23CF-44E3-9099-C40C66FF867C}">
                  <a14:compatExt spid="_x0000_s19535"/>
                </a:ext>
                <a:ext uri="{FF2B5EF4-FFF2-40B4-BE49-F238E27FC236}">
                  <a16:creationId xmlns:a16="http://schemas.microsoft.com/office/drawing/2014/main" id="{00000000-0008-0000-0A00-00004F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29</xdr:row>
          <xdr:rowOff>171450</xdr:rowOff>
        </xdr:from>
        <xdr:to>
          <xdr:col>13</xdr:col>
          <xdr:colOff>285750</xdr:colOff>
          <xdr:row>31</xdr:row>
          <xdr:rowOff>19050</xdr:rowOff>
        </xdr:to>
        <xdr:sp macro="" textlink="">
          <xdr:nvSpPr>
            <xdr:cNvPr id="19536" name="Check Box 80" hidden="1">
              <a:extLst>
                <a:ext uri="{63B3BB69-23CF-44E3-9099-C40C66FF867C}">
                  <a14:compatExt spid="_x0000_s19536"/>
                </a:ext>
                <a:ext uri="{FF2B5EF4-FFF2-40B4-BE49-F238E27FC236}">
                  <a16:creationId xmlns:a16="http://schemas.microsoft.com/office/drawing/2014/main" id="{00000000-0008-0000-0A00-000050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30</xdr:row>
          <xdr:rowOff>171450</xdr:rowOff>
        </xdr:from>
        <xdr:to>
          <xdr:col>13</xdr:col>
          <xdr:colOff>285750</xdr:colOff>
          <xdr:row>32</xdr:row>
          <xdr:rowOff>19050</xdr:rowOff>
        </xdr:to>
        <xdr:sp macro="" textlink="">
          <xdr:nvSpPr>
            <xdr:cNvPr id="19537" name="Check Box 81" hidden="1">
              <a:extLst>
                <a:ext uri="{63B3BB69-23CF-44E3-9099-C40C66FF867C}">
                  <a14:compatExt spid="_x0000_s19537"/>
                </a:ext>
                <a:ext uri="{FF2B5EF4-FFF2-40B4-BE49-F238E27FC236}">
                  <a16:creationId xmlns:a16="http://schemas.microsoft.com/office/drawing/2014/main" id="{00000000-0008-0000-0A00-000051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31</xdr:row>
          <xdr:rowOff>171450</xdr:rowOff>
        </xdr:from>
        <xdr:to>
          <xdr:col>13</xdr:col>
          <xdr:colOff>285750</xdr:colOff>
          <xdr:row>33</xdr:row>
          <xdr:rowOff>12700</xdr:rowOff>
        </xdr:to>
        <xdr:sp macro="" textlink="">
          <xdr:nvSpPr>
            <xdr:cNvPr id="19538" name="Check Box 82" hidden="1">
              <a:extLst>
                <a:ext uri="{63B3BB69-23CF-44E3-9099-C40C66FF867C}">
                  <a14:compatExt spid="_x0000_s19538"/>
                </a:ext>
                <a:ext uri="{FF2B5EF4-FFF2-40B4-BE49-F238E27FC236}">
                  <a16:creationId xmlns:a16="http://schemas.microsoft.com/office/drawing/2014/main" id="{00000000-0008-0000-0A00-000052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14</xdr:row>
          <xdr:rowOff>171450</xdr:rowOff>
        </xdr:from>
        <xdr:to>
          <xdr:col>8</xdr:col>
          <xdr:colOff>533400</xdr:colOff>
          <xdr:row>16</xdr:row>
          <xdr:rowOff>12700</xdr:rowOff>
        </xdr:to>
        <xdr:sp macro="" textlink="">
          <xdr:nvSpPr>
            <xdr:cNvPr id="19572" name="Check Box 116" hidden="1">
              <a:extLst>
                <a:ext uri="{63B3BB69-23CF-44E3-9099-C40C66FF867C}">
                  <a14:compatExt spid="_x0000_s19572"/>
                </a:ext>
                <a:ext uri="{FF2B5EF4-FFF2-40B4-BE49-F238E27FC236}">
                  <a16:creationId xmlns:a16="http://schemas.microsoft.com/office/drawing/2014/main" id="{00000000-0008-0000-0A00-000074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13</xdr:row>
          <xdr:rowOff>184150</xdr:rowOff>
        </xdr:from>
        <xdr:to>
          <xdr:col>8</xdr:col>
          <xdr:colOff>533400</xdr:colOff>
          <xdr:row>15</xdr:row>
          <xdr:rowOff>25400</xdr:rowOff>
        </xdr:to>
        <xdr:sp macro="" textlink="">
          <xdr:nvSpPr>
            <xdr:cNvPr id="19573" name="Check Box 117" hidden="1">
              <a:extLst>
                <a:ext uri="{63B3BB69-23CF-44E3-9099-C40C66FF867C}">
                  <a14:compatExt spid="_x0000_s19573"/>
                </a:ext>
                <a:ext uri="{FF2B5EF4-FFF2-40B4-BE49-F238E27FC236}">
                  <a16:creationId xmlns:a16="http://schemas.microsoft.com/office/drawing/2014/main" id="{00000000-0008-0000-0A00-000075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21</xdr:row>
          <xdr:rowOff>171450</xdr:rowOff>
        </xdr:from>
        <xdr:to>
          <xdr:col>8</xdr:col>
          <xdr:colOff>533400</xdr:colOff>
          <xdr:row>23</xdr:row>
          <xdr:rowOff>19050</xdr:rowOff>
        </xdr:to>
        <xdr:sp macro="" textlink="">
          <xdr:nvSpPr>
            <xdr:cNvPr id="19627" name="Check Box 171" hidden="1">
              <a:extLst>
                <a:ext uri="{63B3BB69-23CF-44E3-9099-C40C66FF867C}">
                  <a14:compatExt spid="_x0000_s19627"/>
                </a:ext>
                <a:ext uri="{FF2B5EF4-FFF2-40B4-BE49-F238E27FC236}">
                  <a16:creationId xmlns:a16="http://schemas.microsoft.com/office/drawing/2014/main" id="{00000000-0008-0000-0A00-0000AB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22</xdr:row>
          <xdr:rowOff>171450</xdr:rowOff>
        </xdr:from>
        <xdr:to>
          <xdr:col>8</xdr:col>
          <xdr:colOff>533400</xdr:colOff>
          <xdr:row>24</xdr:row>
          <xdr:rowOff>19050</xdr:rowOff>
        </xdr:to>
        <xdr:sp macro="" textlink="">
          <xdr:nvSpPr>
            <xdr:cNvPr id="19628" name="Check Box 172" hidden="1">
              <a:extLst>
                <a:ext uri="{63B3BB69-23CF-44E3-9099-C40C66FF867C}">
                  <a14:compatExt spid="_x0000_s19628"/>
                </a:ext>
                <a:ext uri="{FF2B5EF4-FFF2-40B4-BE49-F238E27FC236}">
                  <a16:creationId xmlns:a16="http://schemas.microsoft.com/office/drawing/2014/main" id="{00000000-0008-0000-0A00-0000AC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23</xdr:row>
          <xdr:rowOff>171450</xdr:rowOff>
        </xdr:from>
        <xdr:to>
          <xdr:col>8</xdr:col>
          <xdr:colOff>533400</xdr:colOff>
          <xdr:row>25</xdr:row>
          <xdr:rowOff>12700</xdr:rowOff>
        </xdr:to>
        <xdr:sp macro="" textlink="">
          <xdr:nvSpPr>
            <xdr:cNvPr id="19629" name="Check Box 173" hidden="1">
              <a:extLst>
                <a:ext uri="{63B3BB69-23CF-44E3-9099-C40C66FF867C}">
                  <a14:compatExt spid="_x0000_s19629"/>
                </a:ext>
                <a:ext uri="{FF2B5EF4-FFF2-40B4-BE49-F238E27FC236}">
                  <a16:creationId xmlns:a16="http://schemas.microsoft.com/office/drawing/2014/main" id="{00000000-0008-0000-0A00-0000AD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6350</xdr:colOff>
          <xdr:row>12</xdr:row>
          <xdr:rowOff>177800</xdr:rowOff>
        </xdr:from>
        <xdr:to>
          <xdr:col>13</xdr:col>
          <xdr:colOff>292100</xdr:colOff>
          <xdr:row>14</xdr:row>
          <xdr:rowOff>12700</xdr:rowOff>
        </xdr:to>
        <xdr:sp macro="" textlink="">
          <xdr:nvSpPr>
            <xdr:cNvPr id="19630" name="Check Box 174" hidden="1">
              <a:extLst>
                <a:ext uri="{63B3BB69-23CF-44E3-9099-C40C66FF867C}">
                  <a14:compatExt spid="_x0000_s19630"/>
                </a:ext>
                <a:ext uri="{FF2B5EF4-FFF2-40B4-BE49-F238E27FC236}">
                  <a16:creationId xmlns:a16="http://schemas.microsoft.com/office/drawing/2014/main" id="{00000000-0008-0000-0A00-0000AE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6350</xdr:colOff>
          <xdr:row>13</xdr:row>
          <xdr:rowOff>177800</xdr:rowOff>
        </xdr:from>
        <xdr:to>
          <xdr:col>13</xdr:col>
          <xdr:colOff>292100</xdr:colOff>
          <xdr:row>15</xdr:row>
          <xdr:rowOff>19050</xdr:rowOff>
        </xdr:to>
        <xdr:sp macro="" textlink="">
          <xdr:nvSpPr>
            <xdr:cNvPr id="19631" name="Check Box 175" hidden="1">
              <a:extLst>
                <a:ext uri="{63B3BB69-23CF-44E3-9099-C40C66FF867C}">
                  <a14:compatExt spid="_x0000_s19631"/>
                </a:ext>
                <a:ext uri="{FF2B5EF4-FFF2-40B4-BE49-F238E27FC236}">
                  <a16:creationId xmlns:a16="http://schemas.microsoft.com/office/drawing/2014/main" id="{00000000-0008-0000-0A00-0000AF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6350</xdr:colOff>
          <xdr:row>14</xdr:row>
          <xdr:rowOff>171450</xdr:rowOff>
        </xdr:from>
        <xdr:to>
          <xdr:col>13</xdr:col>
          <xdr:colOff>292100</xdr:colOff>
          <xdr:row>16</xdr:row>
          <xdr:rowOff>12700</xdr:rowOff>
        </xdr:to>
        <xdr:sp macro="" textlink="">
          <xdr:nvSpPr>
            <xdr:cNvPr id="19632" name="Check Box 176" hidden="1">
              <a:extLst>
                <a:ext uri="{63B3BB69-23CF-44E3-9099-C40C66FF867C}">
                  <a14:compatExt spid="_x0000_s19632"/>
                </a:ext>
                <a:ext uri="{FF2B5EF4-FFF2-40B4-BE49-F238E27FC236}">
                  <a16:creationId xmlns:a16="http://schemas.microsoft.com/office/drawing/2014/main" id="{00000000-0008-0000-0A00-0000B0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5</xdr:row>
          <xdr:rowOff>171450</xdr:rowOff>
        </xdr:from>
        <xdr:to>
          <xdr:col>5</xdr:col>
          <xdr:colOff>6350</xdr:colOff>
          <xdr:row>7</xdr:row>
          <xdr:rowOff>19050</xdr:rowOff>
        </xdr:to>
        <xdr:sp macro="" textlink="">
          <xdr:nvSpPr>
            <xdr:cNvPr id="25601" name="Check Box 1" hidden="1">
              <a:extLst>
                <a:ext uri="{63B3BB69-23CF-44E3-9099-C40C66FF867C}">
                  <a14:compatExt spid="_x0000_s25601"/>
                </a:ext>
                <a:ext uri="{FF2B5EF4-FFF2-40B4-BE49-F238E27FC236}">
                  <a16:creationId xmlns:a16="http://schemas.microsoft.com/office/drawing/2014/main" id="{1355DD4C-58FF-468E-A1B1-971D7B3106F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xdr:row>
          <xdr:rowOff>171450</xdr:rowOff>
        </xdr:from>
        <xdr:to>
          <xdr:col>5</xdr:col>
          <xdr:colOff>6350</xdr:colOff>
          <xdr:row>8</xdr:row>
          <xdr:rowOff>19050</xdr:rowOff>
        </xdr:to>
        <xdr:sp macro="" textlink="">
          <xdr:nvSpPr>
            <xdr:cNvPr id="25602" name="Check Box 2" hidden="1">
              <a:extLst>
                <a:ext uri="{63B3BB69-23CF-44E3-9099-C40C66FF867C}">
                  <a14:compatExt spid="_x0000_s25602"/>
                </a:ext>
                <a:ext uri="{FF2B5EF4-FFF2-40B4-BE49-F238E27FC236}">
                  <a16:creationId xmlns:a16="http://schemas.microsoft.com/office/drawing/2014/main" id="{1EF3F02B-B5BC-4CA4-91B8-33A0997F3A0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171450</xdr:rowOff>
        </xdr:from>
        <xdr:to>
          <xdr:col>5</xdr:col>
          <xdr:colOff>6350</xdr:colOff>
          <xdr:row>9</xdr:row>
          <xdr:rowOff>19050</xdr:rowOff>
        </xdr:to>
        <xdr:sp macro="" textlink="">
          <xdr:nvSpPr>
            <xdr:cNvPr id="25603" name="Check Box 3" hidden="1">
              <a:extLst>
                <a:ext uri="{63B3BB69-23CF-44E3-9099-C40C66FF867C}">
                  <a14:compatExt spid="_x0000_s25603"/>
                </a:ext>
                <a:ext uri="{FF2B5EF4-FFF2-40B4-BE49-F238E27FC236}">
                  <a16:creationId xmlns:a16="http://schemas.microsoft.com/office/drawing/2014/main" id="{B9B00DC6-718D-4E14-BE33-8B079CB5650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xdr:row>
          <xdr:rowOff>171450</xdr:rowOff>
        </xdr:from>
        <xdr:to>
          <xdr:col>5</xdr:col>
          <xdr:colOff>6350</xdr:colOff>
          <xdr:row>10</xdr:row>
          <xdr:rowOff>19050</xdr:rowOff>
        </xdr:to>
        <xdr:sp macro="" textlink="">
          <xdr:nvSpPr>
            <xdr:cNvPr id="25604" name="Check Box 4" hidden="1">
              <a:extLst>
                <a:ext uri="{63B3BB69-23CF-44E3-9099-C40C66FF867C}">
                  <a14:compatExt spid="_x0000_s25604"/>
                </a:ext>
                <a:ext uri="{FF2B5EF4-FFF2-40B4-BE49-F238E27FC236}">
                  <a16:creationId xmlns:a16="http://schemas.microsoft.com/office/drawing/2014/main" id="{81D9F6C1-3D0A-4964-A4A8-4948E1CA62A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9</xdr:row>
          <xdr:rowOff>171450</xdr:rowOff>
        </xdr:from>
        <xdr:to>
          <xdr:col>5</xdr:col>
          <xdr:colOff>6350</xdr:colOff>
          <xdr:row>11</xdr:row>
          <xdr:rowOff>19050</xdr:rowOff>
        </xdr:to>
        <xdr:sp macro="" textlink="">
          <xdr:nvSpPr>
            <xdr:cNvPr id="25605" name="Check Box 5" hidden="1">
              <a:extLst>
                <a:ext uri="{63B3BB69-23CF-44E3-9099-C40C66FF867C}">
                  <a14:compatExt spid="_x0000_s25605"/>
                </a:ext>
                <a:ext uri="{FF2B5EF4-FFF2-40B4-BE49-F238E27FC236}">
                  <a16:creationId xmlns:a16="http://schemas.microsoft.com/office/drawing/2014/main" id="{A601F9BD-A987-421C-99D0-654E4D9A06B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xdr:row>
          <xdr:rowOff>171450</xdr:rowOff>
        </xdr:from>
        <xdr:to>
          <xdr:col>5</xdr:col>
          <xdr:colOff>6350</xdr:colOff>
          <xdr:row>12</xdr:row>
          <xdr:rowOff>19050</xdr:rowOff>
        </xdr:to>
        <xdr:sp macro="" textlink="">
          <xdr:nvSpPr>
            <xdr:cNvPr id="25606" name="Check Box 6" hidden="1">
              <a:extLst>
                <a:ext uri="{63B3BB69-23CF-44E3-9099-C40C66FF867C}">
                  <a14:compatExt spid="_x0000_s25606"/>
                </a:ext>
                <a:ext uri="{FF2B5EF4-FFF2-40B4-BE49-F238E27FC236}">
                  <a16:creationId xmlns:a16="http://schemas.microsoft.com/office/drawing/2014/main" id="{D396D4C8-0405-49CD-8AC4-E6C437B2AAD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171450</xdr:rowOff>
        </xdr:from>
        <xdr:to>
          <xdr:col>5</xdr:col>
          <xdr:colOff>6350</xdr:colOff>
          <xdr:row>13</xdr:row>
          <xdr:rowOff>19050</xdr:rowOff>
        </xdr:to>
        <xdr:sp macro="" textlink="">
          <xdr:nvSpPr>
            <xdr:cNvPr id="25607" name="Check Box 7" hidden="1">
              <a:extLst>
                <a:ext uri="{63B3BB69-23CF-44E3-9099-C40C66FF867C}">
                  <a14:compatExt spid="_x0000_s25607"/>
                </a:ext>
                <a:ext uri="{FF2B5EF4-FFF2-40B4-BE49-F238E27FC236}">
                  <a16:creationId xmlns:a16="http://schemas.microsoft.com/office/drawing/2014/main" id="{F7688CF8-DCBD-4321-975E-A45DFB6ECAD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171450</xdr:rowOff>
        </xdr:from>
        <xdr:to>
          <xdr:col>5</xdr:col>
          <xdr:colOff>6350</xdr:colOff>
          <xdr:row>14</xdr:row>
          <xdr:rowOff>19050</xdr:rowOff>
        </xdr:to>
        <xdr:sp macro="" textlink="">
          <xdr:nvSpPr>
            <xdr:cNvPr id="25608" name="Check Box 8" hidden="1">
              <a:extLst>
                <a:ext uri="{63B3BB69-23CF-44E3-9099-C40C66FF867C}">
                  <a14:compatExt spid="_x0000_s25608"/>
                </a:ext>
                <a:ext uri="{FF2B5EF4-FFF2-40B4-BE49-F238E27FC236}">
                  <a16:creationId xmlns:a16="http://schemas.microsoft.com/office/drawing/2014/main" id="{22199EBE-E771-466B-A97C-55C4A9F7767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13</xdr:row>
          <xdr:rowOff>171450</xdr:rowOff>
        </xdr:from>
        <xdr:to>
          <xdr:col>5</xdr:col>
          <xdr:colOff>6350</xdr:colOff>
          <xdr:row>15</xdr:row>
          <xdr:rowOff>19050</xdr:rowOff>
        </xdr:to>
        <xdr:sp macro="" textlink="">
          <xdr:nvSpPr>
            <xdr:cNvPr id="25609" name="Check Box 9" hidden="1">
              <a:extLst>
                <a:ext uri="{63B3BB69-23CF-44E3-9099-C40C66FF867C}">
                  <a14:compatExt spid="_x0000_s25609"/>
                </a:ext>
                <a:ext uri="{FF2B5EF4-FFF2-40B4-BE49-F238E27FC236}">
                  <a16:creationId xmlns:a16="http://schemas.microsoft.com/office/drawing/2014/main" id="{FD5F7F6F-06AC-4BBD-8F23-7979272A440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xdr:row>
          <xdr:rowOff>171450</xdr:rowOff>
        </xdr:from>
        <xdr:to>
          <xdr:col>5</xdr:col>
          <xdr:colOff>6350</xdr:colOff>
          <xdr:row>16</xdr:row>
          <xdr:rowOff>19050</xdr:rowOff>
        </xdr:to>
        <xdr:sp macro="" textlink="">
          <xdr:nvSpPr>
            <xdr:cNvPr id="25610" name="Check Box 10" hidden="1">
              <a:extLst>
                <a:ext uri="{63B3BB69-23CF-44E3-9099-C40C66FF867C}">
                  <a14:compatExt spid="_x0000_s25610"/>
                </a:ext>
                <a:ext uri="{FF2B5EF4-FFF2-40B4-BE49-F238E27FC236}">
                  <a16:creationId xmlns:a16="http://schemas.microsoft.com/office/drawing/2014/main" id="{E91899EE-D2DD-4779-9A7F-11FCE2F568A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15</xdr:row>
          <xdr:rowOff>171450</xdr:rowOff>
        </xdr:from>
        <xdr:to>
          <xdr:col>5</xdr:col>
          <xdr:colOff>6350</xdr:colOff>
          <xdr:row>17</xdr:row>
          <xdr:rowOff>19050</xdr:rowOff>
        </xdr:to>
        <xdr:sp macro="" textlink="">
          <xdr:nvSpPr>
            <xdr:cNvPr id="25611" name="Check Box 11" hidden="1">
              <a:extLst>
                <a:ext uri="{63B3BB69-23CF-44E3-9099-C40C66FF867C}">
                  <a14:compatExt spid="_x0000_s25611"/>
                </a:ext>
                <a:ext uri="{FF2B5EF4-FFF2-40B4-BE49-F238E27FC236}">
                  <a16:creationId xmlns:a16="http://schemas.microsoft.com/office/drawing/2014/main" id="{23AD82BE-7A8E-472D-8417-1A331041AF0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16</xdr:row>
          <xdr:rowOff>171450</xdr:rowOff>
        </xdr:from>
        <xdr:to>
          <xdr:col>5</xdr:col>
          <xdr:colOff>6350</xdr:colOff>
          <xdr:row>18</xdr:row>
          <xdr:rowOff>19050</xdr:rowOff>
        </xdr:to>
        <xdr:sp macro="" textlink="">
          <xdr:nvSpPr>
            <xdr:cNvPr id="25612" name="Check Box 12" hidden="1">
              <a:extLst>
                <a:ext uri="{63B3BB69-23CF-44E3-9099-C40C66FF867C}">
                  <a14:compatExt spid="_x0000_s25612"/>
                </a:ext>
                <a:ext uri="{FF2B5EF4-FFF2-40B4-BE49-F238E27FC236}">
                  <a16:creationId xmlns:a16="http://schemas.microsoft.com/office/drawing/2014/main" id="{2C47DB4C-B3A4-4AAD-9BC2-65BE47ED6FA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17</xdr:row>
          <xdr:rowOff>171450</xdr:rowOff>
        </xdr:from>
        <xdr:to>
          <xdr:col>5</xdr:col>
          <xdr:colOff>6350</xdr:colOff>
          <xdr:row>19</xdr:row>
          <xdr:rowOff>19050</xdr:rowOff>
        </xdr:to>
        <xdr:sp macro="" textlink="">
          <xdr:nvSpPr>
            <xdr:cNvPr id="25613" name="Check Box 13" hidden="1">
              <a:extLst>
                <a:ext uri="{63B3BB69-23CF-44E3-9099-C40C66FF867C}">
                  <a14:compatExt spid="_x0000_s25613"/>
                </a:ext>
                <a:ext uri="{FF2B5EF4-FFF2-40B4-BE49-F238E27FC236}">
                  <a16:creationId xmlns:a16="http://schemas.microsoft.com/office/drawing/2014/main" id="{1A95BC0D-8B97-48B6-8917-3E2D34A2590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18</xdr:row>
          <xdr:rowOff>171450</xdr:rowOff>
        </xdr:from>
        <xdr:to>
          <xdr:col>5</xdr:col>
          <xdr:colOff>6350</xdr:colOff>
          <xdr:row>20</xdr:row>
          <xdr:rowOff>19050</xdr:rowOff>
        </xdr:to>
        <xdr:sp macro="" textlink="">
          <xdr:nvSpPr>
            <xdr:cNvPr id="25614" name="Check Box 14" hidden="1">
              <a:extLst>
                <a:ext uri="{63B3BB69-23CF-44E3-9099-C40C66FF867C}">
                  <a14:compatExt spid="_x0000_s25614"/>
                </a:ext>
                <a:ext uri="{FF2B5EF4-FFF2-40B4-BE49-F238E27FC236}">
                  <a16:creationId xmlns:a16="http://schemas.microsoft.com/office/drawing/2014/main" id="{64683502-8EA8-47D7-AA58-BE7C0D45958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19</xdr:row>
          <xdr:rowOff>171450</xdr:rowOff>
        </xdr:from>
        <xdr:to>
          <xdr:col>5</xdr:col>
          <xdr:colOff>6350</xdr:colOff>
          <xdr:row>21</xdr:row>
          <xdr:rowOff>19050</xdr:rowOff>
        </xdr:to>
        <xdr:sp macro="" textlink="">
          <xdr:nvSpPr>
            <xdr:cNvPr id="25615" name="Check Box 15" hidden="1">
              <a:extLst>
                <a:ext uri="{63B3BB69-23CF-44E3-9099-C40C66FF867C}">
                  <a14:compatExt spid="_x0000_s25615"/>
                </a:ext>
                <a:ext uri="{FF2B5EF4-FFF2-40B4-BE49-F238E27FC236}">
                  <a16:creationId xmlns:a16="http://schemas.microsoft.com/office/drawing/2014/main" id="{E04D6AA9-7847-405E-AC76-95EDA7AE8E7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20</xdr:row>
          <xdr:rowOff>171450</xdr:rowOff>
        </xdr:from>
        <xdr:to>
          <xdr:col>5</xdr:col>
          <xdr:colOff>6350</xdr:colOff>
          <xdr:row>22</xdr:row>
          <xdr:rowOff>19050</xdr:rowOff>
        </xdr:to>
        <xdr:sp macro="" textlink="">
          <xdr:nvSpPr>
            <xdr:cNvPr id="25616" name="Check Box 16" hidden="1">
              <a:extLst>
                <a:ext uri="{63B3BB69-23CF-44E3-9099-C40C66FF867C}">
                  <a14:compatExt spid="_x0000_s25616"/>
                </a:ext>
                <a:ext uri="{FF2B5EF4-FFF2-40B4-BE49-F238E27FC236}">
                  <a16:creationId xmlns:a16="http://schemas.microsoft.com/office/drawing/2014/main" id="{FD41E7E7-A866-4A2A-BD72-CA6075CAF3C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21</xdr:row>
          <xdr:rowOff>171450</xdr:rowOff>
        </xdr:from>
        <xdr:to>
          <xdr:col>5</xdr:col>
          <xdr:colOff>6350</xdr:colOff>
          <xdr:row>23</xdr:row>
          <xdr:rowOff>19050</xdr:rowOff>
        </xdr:to>
        <xdr:sp macro="" textlink="">
          <xdr:nvSpPr>
            <xdr:cNvPr id="25617" name="Check Box 17" hidden="1">
              <a:extLst>
                <a:ext uri="{63B3BB69-23CF-44E3-9099-C40C66FF867C}">
                  <a14:compatExt spid="_x0000_s25617"/>
                </a:ext>
                <a:ext uri="{FF2B5EF4-FFF2-40B4-BE49-F238E27FC236}">
                  <a16:creationId xmlns:a16="http://schemas.microsoft.com/office/drawing/2014/main" id="{0F7005CF-F9A7-4320-966A-9B21EDA30C0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22</xdr:row>
          <xdr:rowOff>171450</xdr:rowOff>
        </xdr:from>
        <xdr:to>
          <xdr:col>5</xdr:col>
          <xdr:colOff>6350</xdr:colOff>
          <xdr:row>24</xdr:row>
          <xdr:rowOff>19050</xdr:rowOff>
        </xdr:to>
        <xdr:sp macro="" textlink="">
          <xdr:nvSpPr>
            <xdr:cNvPr id="25618" name="Check Box 18" hidden="1">
              <a:extLst>
                <a:ext uri="{63B3BB69-23CF-44E3-9099-C40C66FF867C}">
                  <a14:compatExt spid="_x0000_s25618"/>
                </a:ext>
                <a:ext uri="{FF2B5EF4-FFF2-40B4-BE49-F238E27FC236}">
                  <a16:creationId xmlns:a16="http://schemas.microsoft.com/office/drawing/2014/main" id="{AAA6216F-CDE1-47C6-BA5A-88A5B350F91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23</xdr:row>
          <xdr:rowOff>171450</xdr:rowOff>
        </xdr:from>
        <xdr:to>
          <xdr:col>5</xdr:col>
          <xdr:colOff>6350</xdr:colOff>
          <xdr:row>25</xdr:row>
          <xdr:rowOff>19050</xdr:rowOff>
        </xdr:to>
        <xdr:sp macro="" textlink="">
          <xdr:nvSpPr>
            <xdr:cNvPr id="25619" name="Check Box 19" hidden="1">
              <a:extLst>
                <a:ext uri="{63B3BB69-23CF-44E3-9099-C40C66FF867C}">
                  <a14:compatExt spid="_x0000_s25619"/>
                </a:ext>
                <a:ext uri="{FF2B5EF4-FFF2-40B4-BE49-F238E27FC236}">
                  <a16:creationId xmlns:a16="http://schemas.microsoft.com/office/drawing/2014/main" id="{30294A79-A6FD-46DC-BBAF-A1DA56EFC4C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24</xdr:row>
          <xdr:rowOff>171450</xdr:rowOff>
        </xdr:from>
        <xdr:to>
          <xdr:col>5</xdr:col>
          <xdr:colOff>6350</xdr:colOff>
          <xdr:row>26</xdr:row>
          <xdr:rowOff>19050</xdr:rowOff>
        </xdr:to>
        <xdr:sp macro="" textlink="">
          <xdr:nvSpPr>
            <xdr:cNvPr id="25620" name="Check Box 20" hidden="1">
              <a:extLst>
                <a:ext uri="{63B3BB69-23CF-44E3-9099-C40C66FF867C}">
                  <a14:compatExt spid="_x0000_s25620"/>
                </a:ext>
                <a:ext uri="{FF2B5EF4-FFF2-40B4-BE49-F238E27FC236}">
                  <a16:creationId xmlns:a16="http://schemas.microsoft.com/office/drawing/2014/main" id="{F15F8B2F-39BF-4681-B8A1-4C35C13F7E8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25</xdr:row>
          <xdr:rowOff>171450</xdr:rowOff>
        </xdr:from>
        <xdr:to>
          <xdr:col>5</xdr:col>
          <xdr:colOff>6350</xdr:colOff>
          <xdr:row>27</xdr:row>
          <xdr:rowOff>19050</xdr:rowOff>
        </xdr:to>
        <xdr:sp macro="" textlink="">
          <xdr:nvSpPr>
            <xdr:cNvPr id="25621" name="Check Box 21" hidden="1">
              <a:extLst>
                <a:ext uri="{63B3BB69-23CF-44E3-9099-C40C66FF867C}">
                  <a14:compatExt spid="_x0000_s25621"/>
                </a:ext>
                <a:ext uri="{FF2B5EF4-FFF2-40B4-BE49-F238E27FC236}">
                  <a16:creationId xmlns:a16="http://schemas.microsoft.com/office/drawing/2014/main" id="{F7E37549-0DFE-4C8D-A064-E4FCDE5EEF0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26</xdr:row>
          <xdr:rowOff>171450</xdr:rowOff>
        </xdr:from>
        <xdr:to>
          <xdr:col>5</xdr:col>
          <xdr:colOff>6350</xdr:colOff>
          <xdr:row>28</xdr:row>
          <xdr:rowOff>19050</xdr:rowOff>
        </xdr:to>
        <xdr:sp macro="" textlink="">
          <xdr:nvSpPr>
            <xdr:cNvPr id="25622" name="Check Box 22" hidden="1">
              <a:extLst>
                <a:ext uri="{63B3BB69-23CF-44E3-9099-C40C66FF867C}">
                  <a14:compatExt spid="_x0000_s25622"/>
                </a:ext>
                <a:ext uri="{FF2B5EF4-FFF2-40B4-BE49-F238E27FC236}">
                  <a16:creationId xmlns:a16="http://schemas.microsoft.com/office/drawing/2014/main" id="{3CDD2E51-7886-4F40-9313-3FFF25F263B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27</xdr:row>
          <xdr:rowOff>171450</xdr:rowOff>
        </xdr:from>
        <xdr:to>
          <xdr:col>5</xdr:col>
          <xdr:colOff>6350</xdr:colOff>
          <xdr:row>29</xdr:row>
          <xdr:rowOff>19050</xdr:rowOff>
        </xdr:to>
        <xdr:sp macro="" textlink="">
          <xdr:nvSpPr>
            <xdr:cNvPr id="25623" name="Check Box 23" hidden="1">
              <a:extLst>
                <a:ext uri="{63B3BB69-23CF-44E3-9099-C40C66FF867C}">
                  <a14:compatExt spid="_x0000_s25623"/>
                </a:ext>
                <a:ext uri="{FF2B5EF4-FFF2-40B4-BE49-F238E27FC236}">
                  <a16:creationId xmlns:a16="http://schemas.microsoft.com/office/drawing/2014/main" id="{A1514D41-077F-43CE-BEBE-54EC712CF8A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28</xdr:row>
          <xdr:rowOff>171450</xdr:rowOff>
        </xdr:from>
        <xdr:to>
          <xdr:col>5</xdr:col>
          <xdr:colOff>6350</xdr:colOff>
          <xdr:row>30</xdr:row>
          <xdr:rowOff>19050</xdr:rowOff>
        </xdr:to>
        <xdr:sp macro="" textlink="">
          <xdr:nvSpPr>
            <xdr:cNvPr id="25624" name="Check Box 24" hidden="1">
              <a:extLst>
                <a:ext uri="{63B3BB69-23CF-44E3-9099-C40C66FF867C}">
                  <a14:compatExt spid="_x0000_s25624"/>
                </a:ext>
                <a:ext uri="{FF2B5EF4-FFF2-40B4-BE49-F238E27FC236}">
                  <a16:creationId xmlns:a16="http://schemas.microsoft.com/office/drawing/2014/main" id="{561E1209-42DA-4206-BBAF-88FA459142A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29</xdr:row>
          <xdr:rowOff>171450</xdr:rowOff>
        </xdr:from>
        <xdr:to>
          <xdr:col>5</xdr:col>
          <xdr:colOff>6350</xdr:colOff>
          <xdr:row>31</xdr:row>
          <xdr:rowOff>19050</xdr:rowOff>
        </xdr:to>
        <xdr:sp macro="" textlink="">
          <xdr:nvSpPr>
            <xdr:cNvPr id="25625" name="Check Box 25" hidden="1">
              <a:extLst>
                <a:ext uri="{63B3BB69-23CF-44E3-9099-C40C66FF867C}">
                  <a14:compatExt spid="_x0000_s25625"/>
                </a:ext>
                <a:ext uri="{FF2B5EF4-FFF2-40B4-BE49-F238E27FC236}">
                  <a16:creationId xmlns:a16="http://schemas.microsoft.com/office/drawing/2014/main" id="{E70F8E44-336A-4EBF-85F6-2604A44D32F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30</xdr:row>
          <xdr:rowOff>171450</xdr:rowOff>
        </xdr:from>
        <xdr:to>
          <xdr:col>5</xdr:col>
          <xdr:colOff>6350</xdr:colOff>
          <xdr:row>32</xdr:row>
          <xdr:rowOff>19050</xdr:rowOff>
        </xdr:to>
        <xdr:sp macro="" textlink="">
          <xdr:nvSpPr>
            <xdr:cNvPr id="25626" name="Check Box 26" hidden="1">
              <a:extLst>
                <a:ext uri="{63B3BB69-23CF-44E3-9099-C40C66FF867C}">
                  <a14:compatExt spid="_x0000_s25626"/>
                </a:ext>
                <a:ext uri="{FF2B5EF4-FFF2-40B4-BE49-F238E27FC236}">
                  <a16:creationId xmlns:a16="http://schemas.microsoft.com/office/drawing/2014/main" id="{828EDD0F-3C5B-4D15-A334-47A93AEF8CA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31</xdr:row>
          <xdr:rowOff>171450</xdr:rowOff>
        </xdr:from>
        <xdr:to>
          <xdr:col>5</xdr:col>
          <xdr:colOff>6350</xdr:colOff>
          <xdr:row>33</xdr:row>
          <xdr:rowOff>19050</xdr:rowOff>
        </xdr:to>
        <xdr:sp macro="" textlink="">
          <xdr:nvSpPr>
            <xdr:cNvPr id="25627" name="Check Box 27" hidden="1">
              <a:extLst>
                <a:ext uri="{63B3BB69-23CF-44E3-9099-C40C66FF867C}">
                  <a14:compatExt spid="_x0000_s25627"/>
                </a:ext>
                <a:ext uri="{FF2B5EF4-FFF2-40B4-BE49-F238E27FC236}">
                  <a16:creationId xmlns:a16="http://schemas.microsoft.com/office/drawing/2014/main" id="{B20F1B8F-E18F-4E53-B2DC-EF88E8B88CB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5</xdr:row>
          <xdr:rowOff>171450</xdr:rowOff>
        </xdr:from>
        <xdr:to>
          <xdr:col>8</xdr:col>
          <xdr:colOff>520700</xdr:colOff>
          <xdr:row>7</xdr:row>
          <xdr:rowOff>12700</xdr:rowOff>
        </xdr:to>
        <xdr:sp macro="" textlink="">
          <xdr:nvSpPr>
            <xdr:cNvPr id="25628" name="Check Box 28" hidden="1">
              <a:extLst>
                <a:ext uri="{63B3BB69-23CF-44E3-9099-C40C66FF867C}">
                  <a14:compatExt spid="_x0000_s25628"/>
                </a:ext>
                <a:ext uri="{FF2B5EF4-FFF2-40B4-BE49-F238E27FC236}">
                  <a16:creationId xmlns:a16="http://schemas.microsoft.com/office/drawing/2014/main" id="{0BECF1E9-B5EA-4760-A902-90D715DFA07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xdr:row>
          <xdr:rowOff>171450</xdr:rowOff>
        </xdr:from>
        <xdr:to>
          <xdr:col>8</xdr:col>
          <xdr:colOff>520700</xdr:colOff>
          <xdr:row>8</xdr:row>
          <xdr:rowOff>19050</xdr:rowOff>
        </xdr:to>
        <xdr:sp macro="" textlink="">
          <xdr:nvSpPr>
            <xdr:cNvPr id="25629" name="Check Box 29" hidden="1">
              <a:extLst>
                <a:ext uri="{63B3BB69-23CF-44E3-9099-C40C66FF867C}">
                  <a14:compatExt spid="_x0000_s25629"/>
                </a:ext>
                <a:ext uri="{FF2B5EF4-FFF2-40B4-BE49-F238E27FC236}">
                  <a16:creationId xmlns:a16="http://schemas.microsoft.com/office/drawing/2014/main" id="{3136D939-C4F7-430E-A16D-EE0BB8F0381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xdr:row>
          <xdr:rowOff>171450</xdr:rowOff>
        </xdr:from>
        <xdr:to>
          <xdr:col>8</xdr:col>
          <xdr:colOff>520700</xdr:colOff>
          <xdr:row>9</xdr:row>
          <xdr:rowOff>19050</xdr:rowOff>
        </xdr:to>
        <xdr:sp macro="" textlink="">
          <xdr:nvSpPr>
            <xdr:cNvPr id="25630" name="Check Box 30" hidden="1">
              <a:extLst>
                <a:ext uri="{63B3BB69-23CF-44E3-9099-C40C66FF867C}">
                  <a14:compatExt spid="_x0000_s25630"/>
                </a:ext>
                <a:ext uri="{FF2B5EF4-FFF2-40B4-BE49-F238E27FC236}">
                  <a16:creationId xmlns:a16="http://schemas.microsoft.com/office/drawing/2014/main" id="{324E95E8-37D6-418A-A348-61BC2D71FC9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171450</xdr:rowOff>
        </xdr:from>
        <xdr:to>
          <xdr:col>8</xdr:col>
          <xdr:colOff>520700</xdr:colOff>
          <xdr:row>10</xdr:row>
          <xdr:rowOff>19050</xdr:rowOff>
        </xdr:to>
        <xdr:sp macro="" textlink="">
          <xdr:nvSpPr>
            <xdr:cNvPr id="25631" name="Check Box 31" hidden="1">
              <a:extLst>
                <a:ext uri="{63B3BB69-23CF-44E3-9099-C40C66FF867C}">
                  <a14:compatExt spid="_x0000_s25631"/>
                </a:ext>
                <a:ext uri="{FF2B5EF4-FFF2-40B4-BE49-F238E27FC236}">
                  <a16:creationId xmlns:a16="http://schemas.microsoft.com/office/drawing/2014/main" id="{4F4188F5-D269-414F-93AB-9A9671F973A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171450</xdr:rowOff>
        </xdr:from>
        <xdr:to>
          <xdr:col>8</xdr:col>
          <xdr:colOff>520700</xdr:colOff>
          <xdr:row>11</xdr:row>
          <xdr:rowOff>19050</xdr:rowOff>
        </xdr:to>
        <xdr:sp macro="" textlink="">
          <xdr:nvSpPr>
            <xdr:cNvPr id="25632" name="Check Box 32" hidden="1">
              <a:extLst>
                <a:ext uri="{63B3BB69-23CF-44E3-9099-C40C66FF867C}">
                  <a14:compatExt spid="_x0000_s25632"/>
                </a:ext>
                <a:ext uri="{FF2B5EF4-FFF2-40B4-BE49-F238E27FC236}">
                  <a16:creationId xmlns:a16="http://schemas.microsoft.com/office/drawing/2014/main" id="{0BC08435-48DF-458E-8CAC-AE096EFBEBE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xdr:row>
          <xdr:rowOff>171450</xdr:rowOff>
        </xdr:from>
        <xdr:to>
          <xdr:col>8</xdr:col>
          <xdr:colOff>520700</xdr:colOff>
          <xdr:row>12</xdr:row>
          <xdr:rowOff>19050</xdr:rowOff>
        </xdr:to>
        <xdr:sp macro="" textlink="">
          <xdr:nvSpPr>
            <xdr:cNvPr id="25633" name="Check Box 33" hidden="1">
              <a:extLst>
                <a:ext uri="{63B3BB69-23CF-44E3-9099-C40C66FF867C}">
                  <a14:compatExt spid="_x0000_s25633"/>
                </a:ext>
                <a:ext uri="{FF2B5EF4-FFF2-40B4-BE49-F238E27FC236}">
                  <a16:creationId xmlns:a16="http://schemas.microsoft.com/office/drawing/2014/main" id="{7E8E8147-4017-4F88-A9CA-72DB6B835C0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xdr:row>
          <xdr:rowOff>171450</xdr:rowOff>
        </xdr:from>
        <xdr:to>
          <xdr:col>8</xdr:col>
          <xdr:colOff>520700</xdr:colOff>
          <xdr:row>13</xdr:row>
          <xdr:rowOff>19050</xdr:rowOff>
        </xdr:to>
        <xdr:sp macro="" textlink="">
          <xdr:nvSpPr>
            <xdr:cNvPr id="25634" name="Check Box 34" hidden="1">
              <a:extLst>
                <a:ext uri="{63B3BB69-23CF-44E3-9099-C40C66FF867C}">
                  <a14:compatExt spid="_x0000_s25634"/>
                </a:ext>
                <a:ext uri="{FF2B5EF4-FFF2-40B4-BE49-F238E27FC236}">
                  <a16:creationId xmlns:a16="http://schemas.microsoft.com/office/drawing/2014/main" id="{05EF2EFF-C78A-4F37-8426-A2287F8EFAE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12</xdr:row>
          <xdr:rowOff>171450</xdr:rowOff>
        </xdr:from>
        <xdr:to>
          <xdr:col>8</xdr:col>
          <xdr:colOff>520700</xdr:colOff>
          <xdr:row>14</xdr:row>
          <xdr:rowOff>19050</xdr:rowOff>
        </xdr:to>
        <xdr:sp macro="" textlink="">
          <xdr:nvSpPr>
            <xdr:cNvPr id="25635" name="Check Box 35" hidden="1">
              <a:extLst>
                <a:ext uri="{63B3BB69-23CF-44E3-9099-C40C66FF867C}">
                  <a14:compatExt spid="_x0000_s25635"/>
                </a:ext>
                <a:ext uri="{FF2B5EF4-FFF2-40B4-BE49-F238E27FC236}">
                  <a16:creationId xmlns:a16="http://schemas.microsoft.com/office/drawing/2014/main" id="{1342004E-8223-43EB-8A72-3365EBD629D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13</xdr:row>
          <xdr:rowOff>171450</xdr:rowOff>
        </xdr:from>
        <xdr:to>
          <xdr:col>8</xdr:col>
          <xdr:colOff>520700</xdr:colOff>
          <xdr:row>15</xdr:row>
          <xdr:rowOff>19050</xdr:rowOff>
        </xdr:to>
        <xdr:sp macro="" textlink="">
          <xdr:nvSpPr>
            <xdr:cNvPr id="25636" name="Check Box 36" hidden="1">
              <a:extLst>
                <a:ext uri="{63B3BB69-23CF-44E3-9099-C40C66FF867C}">
                  <a14:compatExt spid="_x0000_s25636"/>
                </a:ext>
                <a:ext uri="{FF2B5EF4-FFF2-40B4-BE49-F238E27FC236}">
                  <a16:creationId xmlns:a16="http://schemas.microsoft.com/office/drawing/2014/main" id="{A9078950-08CA-429D-8213-47638D28CF5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14</xdr:row>
          <xdr:rowOff>171450</xdr:rowOff>
        </xdr:from>
        <xdr:to>
          <xdr:col>8</xdr:col>
          <xdr:colOff>520700</xdr:colOff>
          <xdr:row>16</xdr:row>
          <xdr:rowOff>19050</xdr:rowOff>
        </xdr:to>
        <xdr:sp macro="" textlink="">
          <xdr:nvSpPr>
            <xdr:cNvPr id="25637" name="Check Box 37" hidden="1">
              <a:extLst>
                <a:ext uri="{63B3BB69-23CF-44E3-9099-C40C66FF867C}">
                  <a14:compatExt spid="_x0000_s25637"/>
                </a:ext>
                <a:ext uri="{FF2B5EF4-FFF2-40B4-BE49-F238E27FC236}">
                  <a16:creationId xmlns:a16="http://schemas.microsoft.com/office/drawing/2014/main" id="{7F636DCA-5E72-4F6E-BECA-6668014FCDD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15</xdr:row>
          <xdr:rowOff>171450</xdr:rowOff>
        </xdr:from>
        <xdr:to>
          <xdr:col>8</xdr:col>
          <xdr:colOff>520700</xdr:colOff>
          <xdr:row>17</xdr:row>
          <xdr:rowOff>19050</xdr:rowOff>
        </xdr:to>
        <xdr:sp macro="" textlink="">
          <xdr:nvSpPr>
            <xdr:cNvPr id="25638" name="Check Box 38" hidden="1">
              <a:extLst>
                <a:ext uri="{63B3BB69-23CF-44E3-9099-C40C66FF867C}">
                  <a14:compatExt spid="_x0000_s25638"/>
                </a:ext>
                <a:ext uri="{FF2B5EF4-FFF2-40B4-BE49-F238E27FC236}">
                  <a16:creationId xmlns:a16="http://schemas.microsoft.com/office/drawing/2014/main" id="{36C4FFFA-783F-47D4-9197-D365183C757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16</xdr:row>
          <xdr:rowOff>171450</xdr:rowOff>
        </xdr:from>
        <xdr:to>
          <xdr:col>8</xdr:col>
          <xdr:colOff>520700</xdr:colOff>
          <xdr:row>18</xdr:row>
          <xdr:rowOff>19050</xdr:rowOff>
        </xdr:to>
        <xdr:sp macro="" textlink="">
          <xdr:nvSpPr>
            <xdr:cNvPr id="25639" name="Check Box 39" hidden="1">
              <a:extLst>
                <a:ext uri="{63B3BB69-23CF-44E3-9099-C40C66FF867C}">
                  <a14:compatExt spid="_x0000_s25639"/>
                </a:ext>
                <a:ext uri="{FF2B5EF4-FFF2-40B4-BE49-F238E27FC236}">
                  <a16:creationId xmlns:a16="http://schemas.microsoft.com/office/drawing/2014/main" id="{6AEAA210-DF48-4359-8C93-7F5F5C7BC1C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17</xdr:row>
          <xdr:rowOff>171450</xdr:rowOff>
        </xdr:from>
        <xdr:to>
          <xdr:col>8</xdr:col>
          <xdr:colOff>520700</xdr:colOff>
          <xdr:row>19</xdr:row>
          <xdr:rowOff>19050</xdr:rowOff>
        </xdr:to>
        <xdr:sp macro="" textlink="">
          <xdr:nvSpPr>
            <xdr:cNvPr id="25640" name="Check Box 40" hidden="1">
              <a:extLst>
                <a:ext uri="{63B3BB69-23CF-44E3-9099-C40C66FF867C}">
                  <a14:compatExt spid="_x0000_s25640"/>
                </a:ext>
                <a:ext uri="{FF2B5EF4-FFF2-40B4-BE49-F238E27FC236}">
                  <a16:creationId xmlns:a16="http://schemas.microsoft.com/office/drawing/2014/main" id="{39E0E9A3-2729-4F28-9A73-CA5ED5504CD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18</xdr:row>
          <xdr:rowOff>171450</xdr:rowOff>
        </xdr:from>
        <xdr:to>
          <xdr:col>8</xdr:col>
          <xdr:colOff>520700</xdr:colOff>
          <xdr:row>20</xdr:row>
          <xdr:rowOff>19050</xdr:rowOff>
        </xdr:to>
        <xdr:sp macro="" textlink="">
          <xdr:nvSpPr>
            <xdr:cNvPr id="25641" name="Check Box 41" hidden="1">
              <a:extLst>
                <a:ext uri="{63B3BB69-23CF-44E3-9099-C40C66FF867C}">
                  <a14:compatExt spid="_x0000_s25641"/>
                </a:ext>
                <a:ext uri="{FF2B5EF4-FFF2-40B4-BE49-F238E27FC236}">
                  <a16:creationId xmlns:a16="http://schemas.microsoft.com/office/drawing/2014/main" id="{E632CCB9-B440-42D7-9C80-B845DE7BC97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19</xdr:row>
          <xdr:rowOff>171450</xdr:rowOff>
        </xdr:from>
        <xdr:to>
          <xdr:col>8</xdr:col>
          <xdr:colOff>520700</xdr:colOff>
          <xdr:row>21</xdr:row>
          <xdr:rowOff>19050</xdr:rowOff>
        </xdr:to>
        <xdr:sp macro="" textlink="">
          <xdr:nvSpPr>
            <xdr:cNvPr id="25642" name="Check Box 42" hidden="1">
              <a:extLst>
                <a:ext uri="{63B3BB69-23CF-44E3-9099-C40C66FF867C}">
                  <a14:compatExt spid="_x0000_s25642"/>
                </a:ext>
                <a:ext uri="{FF2B5EF4-FFF2-40B4-BE49-F238E27FC236}">
                  <a16:creationId xmlns:a16="http://schemas.microsoft.com/office/drawing/2014/main" id="{A6F83DB0-24DA-43C8-B056-AFCE3C78F0E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20</xdr:row>
          <xdr:rowOff>171450</xdr:rowOff>
        </xdr:from>
        <xdr:to>
          <xdr:col>8</xdr:col>
          <xdr:colOff>520700</xdr:colOff>
          <xdr:row>22</xdr:row>
          <xdr:rowOff>19050</xdr:rowOff>
        </xdr:to>
        <xdr:sp macro="" textlink="">
          <xdr:nvSpPr>
            <xdr:cNvPr id="25643" name="Check Box 43" hidden="1">
              <a:extLst>
                <a:ext uri="{63B3BB69-23CF-44E3-9099-C40C66FF867C}">
                  <a14:compatExt spid="_x0000_s25643"/>
                </a:ext>
                <a:ext uri="{FF2B5EF4-FFF2-40B4-BE49-F238E27FC236}">
                  <a16:creationId xmlns:a16="http://schemas.microsoft.com/office/drawing/2014/main" id="{DE7362A0-849F-452C-9D6A-E9EAF3A8A76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21</xdr:row>
          <xdr:rowOff>171450</xdr:rowOff>
        </xdr:from>
        <xdr:to>
          <xdr:col>8</xdr:col>
          <xdr:colOff>520700</xdr:colOff>
          <xdr:row>23</xdr:row>
          <xdr:rowOff>19050</xdr:rowOff>
        </xdr:to>
        <xdr:sp macro="" textlink="">
          <xdr:nvSpPr>
            <xdr:cNvPr id="25644" name="Check Box 44" hidden="1">
              <a:extLst>
                <a:ext uri="{63B3BB69-23CF-44E3-9099-C40C66FF867C}">
                  <a14:compatExt spid="_x0000_s25644"/>
                </a:ext>
                <a:ext uri="{FF2B5EF4-FFF2-40B4-BE49-F238E27FC236}">
                  <a16:creationId xmlns:a16="http://schemas.microsoft.com/office/drawing/2014/main" id="{E145C384-C0F8-4927-8D34-1D8110EA90F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22</xdr:row>
          <xdr:rowOff>171450</xdr:rowOff>
        </xdr:from>
        <xdr:to>
          <xdr:col>8</xdr:col>
          <xdr:colOff>520700</xdr:colOff>
          <xdr:row>24</xdr:row>
          <xdr:rowOff>19050</xdr:rowOff>
        </xdr:to>
        <xdr:sp macro="" textlink="">
          <xdr:nvSpPr>
            <xdr:cNvPr id="25645" name="Check Box 45" hidden="1">
              <a:extLst>
                <a:ext uri="{63B3BB69-23CF-44E3-9099-C40C66FF867C}">
                  <a14:compatExt spid="_x0000_s25645"/>
                </a:ext>
                <a:ext uri="{FF2B5EF4-FFF2-40B4-BE49-F238E27FC236}">
                  <a16:creationId xmlns:a16="http://schemas.microsoft.com/office/drawing/2014/main" id="{D3F9F848-E3B2-40B7-9DE1-3075709C67F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23</xdr:row>
          <xdr:rowOff>171450</xdr:rowOff>
        </xdr:from>
        <xdr:to>
          <xdr:col>8</xdr:col>
          <xdr:colOff>520700</xdr:colOff>
          <xdr:row>25</xdr:row>
          <xdr:rowOff>19050</xdr:rowOff>
        </xdr:to>
        <xdr:sp macro="" textlink="">
          <xdr:nvSpPr>
            <xdr:cNvPr id="25646" name="Check Box 46" hidden="1">
              <a:extLst>
                <a:ext uri="{63B3BB69-23CF-44E3-9099-C40C66FF867C}">
                  <a14:compatExt spid="_x0000_s25646"/>
                </a:ext>
                <a:ext uri="{FF2B5EF4-FFF2-40B4-BE49-F238E27FC236}">
                  <a16:creationId xmlns:a16="http://schemas.microsoft.com/office/drawing/2014/main" id="{DF4E6C1C-5386-4F26-AADB-64A0DE1B2AC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24</xdr:row>
          <xdr:rowOff>171450</xdr:rowOff>
        </xdr:from>
        <xdr:to>
          <xdr:col>8</xdr:col>
          <xdr:colOff>520700</xdr:colOff>
          <xdr:row>26</xdr:row>
          <xdr:rowOff>19050</xdr:rowOff>
        </xdr:to>
        <xdr:sp macro="" textlink="">
          <xdr:nvSpPr>
            <xdr:cNvPr id="25647" name="Check Box 47" hidden="1">
              <a:extLst>
                <a:ext uri="{63B3BB69-23CF-44E3-9099-C40C66FF867C}">
                  <a14:compatExt spid="_x0000_s25647"/>
                </a:ext>
                <a:ext uri="{FF2B5EF4-FFF2-40B4-BE49-F238E27FC236}">
                  <a16:creationId xmlns:a16="http://schemas.microsoft.com/office/drawing/2014/main" id="{D18C74EF-9B5F-4D26-A36A-83C47C32E13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25</xdr:row>
          <xdr:rowOff>171450</xdr:rowOff>
        </xdr:from>
        <xdr:to>
          <xdr:col>8</xdr:col>
          <xdr:colOff>520700</xdr:colOff>
          <xdr:row>27</xdr:row>
          <xdr:rowOff>19050</xdr:rowOff>
        </xdr:to>
        <xdr:sp macro="" textlink="">
          <xdr:nvSpPr>
            <xdr:cNvPr id="25648" name="Check Box 48" hidden="1">
              <a:extLst>
                <a:ext uri="{63B3BB69-23CF-44E3-9099-C40C66FF867C}">
                  <a14:compatExt spid="_x0000_s25648"/>
                </a:ext>
                <a:ext uri="{FF2B5EF4-FFF2-40B4-BE49-F238E27FC236}">
                  <a16:creationId xmlns:a16="http://schemas.microsoft.com/office/drawing/2014/main" id="{D62F55F2-22D2-46A1-A402-05147F878CF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26</xdr:row>
          <xdr:rowOff>171450</xdr:rowOff>
        </xdr:from>
        <xdr:to>
          <xdr:col>8</xdr:col>
          <xdr:colOff>520700</xdr:colOff>
          <xdr:row>28</xdr:row>
          <xdr:rowOff>19050</xdr:rowOff>
        </xdr:to>
        <xdr:sp macro="" textlink="">
          <xdr:nvSpPr>
            <xdr:cNvPr id="25649" name="Check Box 49" hidden="1">
              <a:extLst>
                <a:ext uri="{63B3BB69-23CF-44E3-9099-C40C66FF867C}">
                  <a14:compatExt spid="_x0000_s25649"/>
                </a:ext>
                <a:ext uri="{FF2B5EF4-FFF2-40B4-BE49-F238E27FC236}">
                  <a16:creationId xmlns:a16="http://schemas.microsoft.com/office/drawing/2014/main" id="{DA145A29-B360-4C37-8976-56F104B3C9E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27</xdr:row>
          <xdr:rowOff>171450</xdr:rowOff>
        </xdr:from>
        <xdr:to>
          <xdr:col>8</xdr:col>
          <xdr:colOff>520700</xdr:colOff>
          <xdr:row>29</xdr:row>
          <xdr:rowOff>19050</xdr:rowOff>
        </xdr:to>
        <xdr:sp macro="" textlink="">
          <xdr:nvSpPr>
            <xdr:cNvPr id="25650" name="Check Box 50" hidden="1">
              <a:extLst>
                <a:ext uri="{63B3BB69-23CF-44E3-9099-C40C66FF867C}">
                  <a14:compatExt spid="_x0000_s25650"/>
                </a:ext>
                <a:ext uri="{FF2B5EF4-FFF2-40B4-BE49-F238E27FC236}">
                  <a16:creationId xmlns:a16="http://schemas.microsoft.com/office/drawing/2014/main" id="{9A07846E-95C4-42D7-A15E-0C5D2CD8663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28</xdr:row>
          <xdr:rowOff>171450</xdr:rowOff>
        </xdr:from>
        <xdr:to>
          <xdr:col>8</xdr:col>
          <xdr:colOff>520700</xdr:colOff>
          <xdr:row>30</xdr:row>
          <xdr:rowOff>19050</xdr:rowOff>
        </xdr:to>
        <xdr:sp macro="" textlink="">
          <xdr:nvSpPr>
            <xdr:cNvPr id="25651" name="Check Box 51" hidden="1">
              <a:extLst>
                <a:ext uri="{63B3BB69-23CF-44E3-9099-C40C66FF867C}">
                  <a14:compatExt spid="_x0000_s25651"/>
                </a:ext>
                <a:ext uri="{FF2B5EF4-FFF2-40B4-BE49-F238E27FC236}">
                  <a16:creationId xmlns:a16="http://schemas.microsoft.com/office/drawing/2014/main" id="{AA4D85C4-73B1-425C-89FE-67EDCB83712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29</xdr:row>
          <xdr:rowOff>171450</xdr:rowOff>
        </xdr:from>
        <xdr:to>
          <xdr:col>8</xdr:col>
          <xdr:colOff>520700</xdr:colOff>
          <xdr:row>31</xdr:row>
          <xdr:rowOff>19050</xdr:rowOff>
        </xdr:to>
        <xdr:sp macro="" textlink="">
          <xdr:nvSpPr>
            <xdr:cNvPr id="25652" name="Check Box 52" hidden="1">
              <a:extLst>
                <a:ext uri="{63B3BB69-23CF-44E3-9099-C40C66FF867C}">
                  <a14:compatExt spid="_x0000_s25652"/>
                </a:ext>
                <a:ext uri="{FF2B5EF4-FFF2-40B4-BE49-F238E27FC236}">
                  <a16:creationId xmlns:a16="http://schemas.microsoft.com/office/drawing/2014/main" id="{7392C6E1-56EA-4121-9B72-6EFA2B6D746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30</xdr:row>
          <xdr:rowOff>171450</xdr:rowOff>
        </xdr:from>
        <xdr:to>
          <xdr:col>8</xdr:col>
          <xdr:colOff>520700</xdr:colOff>
          <xdr:row>32</xdr:row>
          <xdr:rowOff>19050</xdr:rowOff>
        </xdr:to>
        <xdr:sp macro="" textlink="">
          <xdr:nvSpPr>
            <xdr:cNvPr id="25653" name="Check Box 53" hidden="1">
              <a:extLst>
                <a:ext uri="{63B3BB69-23CF-44E3-9099-C40C66FF867C}">
                  <a14:compatExt spid="_x0000_s25653"/>
                </a:ext>
                <a:ext uri="{FF2B5EF4-FFF2-40B4-BE49-F238E27FC236}">
                  <a16:creationId xmlns:a16="http://schemas.microsoft.com/office/drawing/2014/main" id="{37C6A7FA-BEE5-440D-BF59-61A4C7C8C34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31</xdr:row>
          <xdr:rowOff>171450</xdr:rowOff>
        </xdr:from>
        <xdr:to>
          <xdr:col>8</xdr:col>
          <xdr:colOff>520700</xdr:colOff>
          <xdr:row>33</xdr:row>
          <xdr:rowOff>12700</xdr:rowOff>
        </xdr:to>
        <xdr:sp macro="" textlink="">
          <xdr:nvSpPr>
            <xdr:cNvPr id="25654" name="Check Box 54" hidden="1">
              <a:extLst>
                <a:ext uri="{63B3BB69-23CF-44E3-9099-C40C66FF867C}">
                  <a14:compatExt spid="_x0000_s25654"/>
                </a:ext>
                <a:ext uri="{FF2B5EF4-FFF2-40B4-BE49-F238E27FC236}">
                  <a16:creationId xmlns:a16="http://schemas.microsoft.com/office/drawing/2014/main" id="{349E616F-3602-405B-A496-B01806ED24A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xdr:row>
          <xdr:rowOff>171450</xdr:rowOff>
        </xdr:from>
        <xdr:to>
          <xdr:col>12</xdr:col>
          <xdr:colOff>520700</xdr:colOff>
          <xdr:row>7</xdr:row>
          <xdr:rowOff>12700</xdr:rowOff>
        </xdr:to>
        <xdr:sp macro="" textlink="">
          <xdr:nvSpPr>
            <xdr:cNvPr id="25655" name="Check Box 55" hidden="1">
              <a:extLst>
                <a:ext uri="{63B3BB69-23CF-44E3-9099-C40C66FF867C}">
                  <a14:compatExt spid="_x0000_s25655"/>
                </a:ext>
                <a:ext uri="{FF2B5EF4-FFF2-40B4-BE49-F238E27FC236}">
                  <a16:creationId xmlns:a16="http://schemas.microsoft.com/office/drawing/2014/main" id="{44224F74-9C74-4AB7-B985-0F7427EC092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xdr:row>
          <xdr:rowOff>171450</xdr:rowOff>
        </xdr:from>
        <xdr:to>
          <xdr:col>12</xdr:col>
          <xdr:colOff>520700</xdr:colOff>
          <xdr:row>8</xdr:row>
          <xdr:rowOff>19050</xdr:rowOff>
        </xdr:to>
        <xdr:sp macro="" textlink="">
          <xdr:nvSpPr>
            <xdr:cNvPr id="25656" name="Check Box 56" hidden="1">
              <a:extLst>
                <a:ext uri="{63B3BB69-23CF-44E3-9099-C40C66FF867C}">
                  <a14:compatExt spid="_x0000_s25656"/>
                </a:ext>
                <a:ext uri="{FF2B5EF4-FFF2-40B4-BE49-F238E27FC236}">
                  <a16:creationId xmlns:a16="http://schemas.microsoft.com/office/drawing/2014/main" id="{4F232501-CBFF-4432-BFED-CD1B4DC5636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xdr:row>
          <xdr:rowOff>171450</xdr:rowOff>
        </xdr:from>
        <xdr:to>
          <xdr:col>12</xdr:col>
          <xdr:colOff>520700</xdr:colOff>
          <xdr:row>9</xdr:row>
          <xdr:rowOff>19050</xdr:rowOff>
        </xdr:to>
        <xdr:sp macro="" textlink="">
          <xdr:nvSpPr>
            <xdr:cNvPr id="25657" name="Check Box 57" hidden="1">
              <a:extLst>
                <a:ext uri="{63B3BB69-23CF-44E3-9099-C40C66FF867C}">
                  <a14:compatExt spid="_x0000_s25657"/>
                </a:ext>
                <a:ext uri="{FF2B5EF4-FFF2-40B4-BE49-F238E27FC236}">
                  <a16:creationId xmlns:a16="http://schemas.microsoft.com/office/drawing/2014/main" id="{E250FA5D-F21C-4508-A142-7FB0129A004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xdr:row>
          <xdr:rowOff>171450</xdr:rowOff>
        </xdr:from>
        <xdr:to>
          <xdr:col>12</xdr:col>
          <xdr:colOff>520700</xdr:colOff>
          <xdr:row>10</xdr:row>
          <xdr:rowOff>19050</xdr:rowOff>
        </xdr:to>
        <xdr:sp macro="" textlink="">
          <xdr:nvSpPr>
            <xdr:cNvPr id="25658" name="Check Box 58" hidden="1">
              <a:extLst>
                <a:ext uri="{63B3BB69-23CF-44E3-9099-C40C66FF867C}">
                  <a14:compatExt spid="_x0000_s25658"/>
                </a:ext>
                <a:ext uri="{FF2B5EF4-FFF2-40B4-BE49-F238E27FC236}">
                  <a16:creationId xmlns:a16="http://schemas.microsoft.com/office/drawing/2014/main" id="{177AA956-AE28-4323-84EE-2F0CF4D7571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xdr:row>
          <xdr:rowOff>171450</xdr:rowOff>
        </xdr:from>
        <xdr:to>
          <xdr:col>12</xdr:col>
          <xdr:colOff>520700</xdr:colOff>
          <xdr:row>11</xdr:row>
          <xdr:rowOff>19050</xdr:rowOff>
        </xdr:to>
        <xdr:sp macro="" textlink="">
          <xdr:nvSpPr>
            <xdr:cNvPr id="25659" name="Check Box 59" hidden="1">
              <a:extLst>
                <a:ext uri="{63B3BB69-23CF-44E3-9099-C40C66FF867C}">
                  <a14:compatExt spid="_x0000_s25659"/>
                </a:ext>
                <a:ext uri="{FF2B5EF4-FFF2-40B4-BE49-F238E27FC236}">
                  <a16:creationId xmlns:a16="http://schemas.microsoft.com/office/drawing/2014/main" id="{96DF50A6-4E36-4098-BEF3-7C01D63B8A5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xdr:row>
          <xdr:rowOff>171450</xdr:rowOff>
        </xdr:from>
        <xdr:to>
          <xdr:col>12</xdr:col>
          <xdr:colOff>520700</xdr:colOff>
          <xdr:row>12</xdr:row>
          <xdr:rowOff>19050</xdr:rowOff>
        </xdr:to>
        <xdr:sp macro="" textlink="">
          <xdr:nvSpPr>
            <xdr:cNvPr id="25660" name="Check Box 60" hidden="1">
              <a:extLst>
                <a:ext uri="{63B3BB69-23CF-44E3-9099-C40C66FF867C}">
                  <a14:compatExt spid="_x0000_s25660"/>
                </a:ext>
                <a:ext uri="{FF2B5EF4-FFF2-40B4-BE49-F238E27FC236}">
                  <a16:creationId xmlns:a16="http://schemas.microsoft.com/office/drawing/2014/main" id="{D0E46171-349D-46F2-8A1F-8D583C333B5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xdr:row>
          <xdr:rowOff>171450</xdr:rowOff>
        </xdr:from>
        <xdr:to>
          <xdr:col>12</xdr:col>
          <xdr:colOff>520700</xdr:colOff>
          <xdr:row>13</xdr:row>
          <xdr:rowOff>19050</xdr:rowOff>
        </xdr:to>
        <xdr:sp macro="" textlink="">
          <xdr:nvSpPr>
            <xdr:cNvPr id="25661" name="Check Box 61" hidden="1">
              <a:extLst>
                <a:ext uri="{63B3BB69-23CF-44E3-9099-C40C66FF867C}">
                  <a14:compatExt spid="_x0000_s25661"/>
                </a:ext>
                <a:ext uri="{FF2B5EF4-FFF2-40B4-BE49-F238E27FC236}">
                  <a16:creationId xmlns:a16="http://schemas.microsoft.com/office/drawing/2014/main" id="{6129AF2B-3CF8-46DD-888C-AA0F2A813C2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xdr:row>
          <xdr:rowOff>171450</xdr:rowOff>
        </xdr:from>
        <xdr:to>
          <xdr:col>12</xdr:col>
          <xdr:colOff>520700</xdr:colOff>
          <xdr:row>14</xdr:row>
          <xdr:rowOff>19050</xdr:rowOff>
        </xdr:to>
        <xdr:sp macro="" textlink="">
          <xdr:nvSpPr>
            <xdr:cNvPr id="25662" name="Check Box 62" hidden="1">
              <a:extLst>
                <a:ext uri="{63B3BB69-23CF-44E3-9099-C40C66FF867C}">
                  <a14:compatExt spid="_x0000_s25662"/>
                </a:ext>
                <a:ext uri="{FF2B5EF4-FFF2-40B4-BE49-F238E27FC236}">
                  <a16:creationId xmlns:a16="http://schemas.microsoft.com/office/drawing/2014/main" id="{18369585-C96D-4A84-AA64-C2D15E22A86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xdr:row>
          <xdr:rowOff>171450</xdr:rowOff>
        </xdr:from>
        <xdr:to>
          <xdr:col>12</xdr:col>
          <xdr:colOff>520700</xdr:colOff>
          <xdr:row>15</xdr:row>
          <xdr:rowOff>19050</xdr:rowOff>
        </xdr:to>
        <xdr:sp macro="" textlink="">
          <xdr:nvSpPr>
            <xdr:cNvPr id="25663" name="Check Box 63" hidden="1">
              <a:extLst>
                <a:ext uri="{63B3BB69-23CF-44E3-9099-C40C66FF867C}">
                  <a14:compatExt spid="_x0000_s25663"/>
                </a:ext>
                <a:ext uri="{FF2B5EF4-FFF2-40B4-BE49-F238E27FC236}">
                  <a16:creationId xmlns:a16="http://schemas.microsoft.com/office/drawing/2014/main" id="{4A58A523-E769-4F36-AC4B-21CDEB6A2FD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xdr:row>
          <xdr:rowOff>171450</xdr:rowOff>
        </xdr:from>
        <xdr:to>
          <xdr:col>12</xdr:col>
          <xdr:colOff>520700</xdr:colOff>
          <xdr:row>16</xdr:row>
          <xdr:rowOff>19050</xdr:rowOff>
        </xdr:to>
        <xdr:sp macro="" textlink="">
          <xdr:nvSpPr>
            <xdr:cNvPr id="25664" name="Check Box 64" hidden="1">
              <a:extLst>
                <a:ext uri="{63B3BB69-23CF-44E3-9099-C40C66FF867C}">
                  <a14:compatExt spid="_x0000_s25664"/>
                </a:ext>
                <a:ext uri="{FF2B5EF4-FFF2-40B4-BE49-F238E27FC236}">
                  <a16:creationId xmlns:a16="http://schemas.microsoft.com/office/drawing/2014/main" id="{5DD7ABC4-7643-47A5-B3CD-473579089D8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15</xdr:row>
          <xdr:rowOff>171450</xdr:rowOff>
        </xdr:from>
        <xdr:to>
          <xdr:col>12</xdr:col>
          <xdr:colOff>520700</xdr:colOff>
          <xdr:row>17</xdr:row>
          <xdr:rowOff>19050</xdr:rowOff>
        </xdr:to>
        <xdr:sp macro="" textlink="">
          <xdr:nvSpPr>
            <xdr:cNvPr id="25665" name="Check Box 65" hidden="1">
              <a:extLst>
                <a:ext uri="{63B3BB69-23CF-44E3-9099-C40C66FF867C}">
                  <a14:compatExt spid="_x0000_s25665"/>
                </a:ext>
                <a:ext uri="{FF2B5EF4-FFF2-40B4-BE49-F238E27FC236}">
                  <a16:creationId xmlns:a16="http://schemas.microsoft.com/office/drawing/2014/main" id="{039AF005-D9FF-4A6D-A268-0ED9AB94BF0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16</xdr:row>
          <xdr:rowOff>171450</xdr:rowOff>
        </xdr:from>
        <xdr:to>
          <xdr:col>12</xdr:col>
          <xdr:colOff>520700</xdr:colOff>
          <xdr:row>18</xdr:row>
          <xdr:rowOff>19050</xdr:rowOff>
        </xdr:to>
        <xdr:sp macro="" textlink="">
          <xdr:nvSpPr>
            <xdr:cNvPr id="25666" name="Check Box 66" hidden="1">
              <a:extLst>
                <a:ext uri="{63B3BB69-23CF-44E3-9099-C40C66FF867C}">
                  <a14:compatExt spid="_x0000_s25666"/>
                </a:ext>
                <a:ext uri="{FF2B5EF4-FFF2-40B4-BE49-F238E27FC236}">
                  <a16:creationId xmlns:a16="http://schemas.microsoft.com/office/drawing/2014/main" id="{E98AEF20-FE7B-45C6-BF66-7A3D5F90963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17</xdr:row>
          <xdr:rowOff>171450</xdr:rowOff>
        </xdr:from>
        <xdr:to>
          <xdr:col>12</xdr:col>
          <xdr:colOff>520700</xdr:colOff>
          <xdr:row>19</xdr:row>
          <xdr:rowOff>19050</xdr:rowOff>
        </xdr:to>
        <xdr:sp macro="" textlink="">
          <xdr:nvSpPr>
            <xdr:cNvPr id="25667" name="Check Box 67" hidden="1">
              <a:extLst>
                <a:ext uri="{63B3BB69-23CF-44E3-9099-C40C66FF867C}">
                  <a14:compatExt spid="_x0000_s25667"/>
                </a:ext>
                <a:ext uri="{FF2B5EF4-FFF2-40B4-BE49-F238E27FC236}">
                  <a16:creationId xmlns:a16="http://schemas.microsoft.com/office/drawing/2014/main" id="{845571EE-4886-4D3B-AE9A-45AFAAB73C2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18</xdr:row>
          <xdr:rowOff>171450</xdr:rowOff>
        </xdr:from>
        <xdr:to>
          <xdr:col>12</xdr:col>
          <xdr:colOff>520700</xdr:colOff>
          <xdr:row>20</xdr:row>
          <xdr:rowOff>19050</xdr:rowOff>
        </xdr:to>
        <xdr:sp macro="" textlink="">
          <xdr:nvSpPr>
            <xdr:cNvPr id="25668" name="Check Box 68" hidden="1">
              <a:extLst>
                <a:ext uri="{63B3BB69-23CF-44E3-9099-C40C66FF867C}">
                  <a14:compatExt spid="_x0000_s25668"/>
                </a:ext>
                <a:ext uri="{FF2B5EF4-FFF2-40B4-BE49-F238E27FC236}">
                  <a16:creationId xmlns:a16="http://schemas.microsoft.com/office/drawing/2014/main" id="{A6DC95F6-EBBD-4353-8EBE-98C7B9B34F8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19</xdr:row>
          <xdr:rowOff>171450</xdr:rowOff>
        </xdr:from>
        <xdr:to>
          <xdr:col>12</xdr:col>
          <xdr:colOff>520700</xdr:colOff>
          <xdr:row>21</xdr:row>
          <xdr:rowOff>19050</xdr:rowOff>
        </xdr:to>
        <xdr:sp macro="" textlink="">
          <xdr:nvSpPr>
            <xdr:cNvPr id="25669" name="Check Box 69" hidden="1">
              <a:extLst>
                <a:ext uri="{63B3BB69-23CF-44E3-9099-C40C66FF867C}">
                  <a14:compatExt spid="_x0000_s25669"/>
                </a:ext>
                <a:ext uri="{FF2B5EF4-FFF2-40B4-BE49-F238E27FC236}">
                  <a16:creationId xmlns:a16="http://schemas.microsoft.com/office/drawing/2014/main" id="{D341D985-A5CC-470B-ABAB-02BFF363CB8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20</xdr:row>
          <xdr:rowOff>171450</xdr:rowOff>
        </xdr:from>
        <xdr:to>
          <xdr:col>12</xdr:col>
          <xdr:colOff>520700</xdr:colOff>
          <xdr:row>22</xdr:row>
          <xdr:rowOff>19050</xdr:rowOff>
        </xdr:to>
        <xdr:sp macro="" textlink="">
          <xdr:nvSpPr>
            <xdr:cNvPr id="25670" name="Check Box 70" hidden="1">
              <a:extLst>
                <a:ext uri="{63B3BB69-23CF-44E3-9099-C40C66FF867C}">
                  <a14:compatExt spid="_x0000_s25670"/>
                </a:ext>
                <a:ext uri="{FF2B5EF4-FFF2-40B4-BE49-F238E27FC236}">
                  <a16:creationId xmlns:a16="http://schemas.microsoft.com/office/drawing/2014/main" id="{D4A6C279-886E-437A-A0F5-5FAC37FF40E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21</xdr:row>
          <xdr:rowOff>171450</xdr:rowOff>
        </xdr:from>
        <xdr:to>
          <xdr:col>12</xdr:col>
          <xdr:colOff>520700</xdr:colOff>
          <xdr:row>23</xdr:row>
          <xdr:rowOff>19050</xdr:rowOff>
        </xdr:to>
        <xdr:sp macro="" textlink="">
          <xdr:nvSpPr>
            <xdr:cNvPr id="25671" name="Check Box 71" hidden="1">
              <a:extLst>
                <a:ext uri="{63B3BB69-23CF-44E3-9099-C40C66FF867C}">
                  <a14:compatExt spid="_x0000_s25671"/>
                </a:ext>
                <a:ext uri="{FF2B5EF4-FFF2-40B4-BE49-F238E27FC236}">
                  <a16:creationId xmlns:a16="http://schemas.microsoft.com/office/drawing/2014/main" id="{FFCC0E36-89C1-4048-82B2-31CE113DD33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22</xdr:row>
          <xdr:rowOff>171450</xdr:rowOff>
        </xdr:from>
        <xdr:to>
          <xdr:col>12</xdr:col>
          <xdr:colOff>520700</xdr:colOff>
          <xdr:row>24</xdr:row>
          <xdr:rowOff>19050</xdr:rowOff>
        </xdr:to>
        <xdr:sp macro="" textlink="">
          <xdr:nvSpPr>
            <xdr:cNvPr id="25672" name="Check Box 72" hidden="1">
              <a:extLst>
                <a:ext uri="{63B3BB69-23CF-44E3-9099-C40C66FF867C}">
                  <a14:compatExt spid="_x0000_s25672"/>
                </a:ext>
                <a:ext uri="{FF2B5EF4-FFF2-40B4-BE49-F238E27FC236}">
                  <a16:creationId xmlns:a16="http://schemas.microsoft.com/office/drawing/2014/main" id="{56EB9DA0-1867-4833-925D-198C0880A59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23</xdr:row>
          <xdr:rowOff>171450</xdr:rowOff>
        </xdr:from>
        <xdr:to>
          <xdr:col>12</xdr:col>
          <xdr:colOff>520700</xdr:colOff>
          <xdr:row>25</xdr:row>
          <xdr:rowOff>19050</xdr:rowOff>
        </xdr:to>
        <xdr:sp macro="" textlink="">
          <xdr:nvSpPr>
            <xdr:cNvPr id="25673" name="Check Box 73" hidden="1">
              <a:extLst>
                <a:ext uri="{63B3BB69-23CF-44E3-9099-C40C66FF867C}">
                  <a14:compatExt spid="_x0000_s25673"/>
                </a:ext>
                <a:ext uri="{FF2B5EF4-FFF2-40B4-BE49-F238E27FC236}">
                  <a16:creationId xmlns:a16="http://schemas.microsoft.com/office/drawing/2014/main" id="{46CD3547-82FB-476E-97D7-245CE47CE5B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24</xdr:row>
          <xdr:rowOff>171450</xdr:rowOff>
        </xdr:from>
        <xdr:to>
          <xdr:col>12</xdr:col>
          <xdr:colOff>520700</xdr:colOff>
          <xdr:row>26</xdr:row>
          <xdr:rowOff>19050</xdr:rowOff>
        </xdr:to>
        <xdr:sp macro="" textlink="">
          <xdr:nvSpPr>
            <xdr:cNvPr id="25674" name="Check Box 74" hidden="1">
              <a:extLst>
                <a:ext uri="{63B3BB69-23CF-44E3-9099-C40C66FF867C}">
                  <a14:compatExt spid="_x0000_s25674"/>
                </a:ext>
                <a:ext uri="{FF2B5EF4-FFF2-40B4-BE49-F238E27FC236}">
                  <a16:creationId xmlns:a16="http://schemas.microsoft.com/office/drawing/2014/main" id="{241CD48E-8C34-4D84-8A62-21684D5FF9E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25</xdr:row>
          <xdr:rowOff>171450</xdr:rowOff>
        </xdr:from>
        <xdr:to>
          <xdr:col>12</xdr:col>
          <xdr:colOff>520700</xdr:colOff>
          <xdr:row>27</xdr:row>
          <xdr:rowOff>19050</xdr:rowOff>
        </xdr:to>
        <xdr:sp macro="" textlink="">
          <xdr:nvSpPr>
            <xdr:cNvPr id="25675" name="Check Box 75" hidden="1">
              <a:extLst>
                <a:ext uri="{63B3BB69-23CF-44E3-9099-C40C66FF867C}">
                  <a14:compatExt spid="_x0000_s25675"/>
                </a:ext>
                <a:ext uri="{FF2B5EF4-FFF2-40B4-BE49-F238E27FC236}">
                  <a16:creationId xmlns:a16="http://schemas.microsoft.com/office/drawing/2014/main" id="{789FC804-4C85-4C82-865D-E302052128C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26</xdr:row>
          <xdr:rowOff>171450</xdr:rowOff>
        </xdr:from>
        <xdr:to>
          <xdr:col>12</xdr:col>
          <xdr:colOff>520700</xdr:colOff>
          <xdr:row>28</xdr:row>
          <xdr:rowOff>19050</xdr:rowOff>
        </xdr:to>
        <xdr:sp macro="" textlink="">
          <xdr:nvSpPr>
            <xdr:cNvPr id="25676" name="Check Box 76" hidden="1">
              <a:extLst>
                <a:ext uri="{63B3BB69-23CF-44E3-9099-C40C66FF867C}">
                  <a14:compatExt spid="_x0000_s25676"/>
                </a:ext>
                <a:ext uri="{FF2B5EF4-FFF2-40B4-BE49-F238E27FC236}">
                  <a16:creationId xmlns:a16="http://schemas.microsoft.com/office/drawing/2014/main" id="{145AACC9-AE5A-46F3-927C-D32B8B7D5FE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27</xdr:row>
          <xdr:rowOff>171450</xdr:rowOff>
        </xdr:from>
        <xdr:to>
          <xdr:col>12</xdr:col>
          <xdr:colOff>520700</xdr:colOff>
          <xdr:row>29</xdr:row>
          <xdr:rowOff>19050</xdr:rowOff>
        </xdr:to>
        <xdr:sp macro="" textlink="">
          <xdr:nvSpPr>
            <xdr:cNvPr id="25677" name="Check Box 77" hidden="1">
              <a:extLst>
                <a:ext uri="{63B3BB69-23CF-44E3-9099-C40C66FF867C}">
                  <a14:compatExt spid="_x0000_s25677"/>
                </a:ext>
                <a:ext uri="{FF2B5EF4-FFF2-40B4-BE49-F238E27FC236}">
                  <a16:creationId xmlns:a16="http://schemas.microsoft.com/office/drawing/2014/main" id="{18BD195C-7699-4580-8D4E-0A97F34A75E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28</xdr:row>
          <xdr:rowOff>171450</xdr:rowOff>
        </xdr:from>
        <xdr:to>
          <xdr:col>12</xdr:col>
          <xdr:colOff>520700</xdr:colOff>
          <xdr:row>30</xdr:row>
          <xdr:rowOff>19050</xdr:rowOff>
        </xdr:to>
        <xdr:sp macro="" textlink="">
          <xdr:nvSpPr>
            <xdr:cNvPr id="25678" name="Check Box 78" hidden="1">
              <a:extLst>
                <a:ext uri="{63B3BB69-23CF-44E3-9099-C40C66FF867C}">
                  <a14:compatExt spid="_x0000_s25678"/>
                </a:ext>
                <a:ext uri="{FF2B5EF4-FFF2-40B4-BE49-F238E27FC236}">
                  <a16:creationId xmlns:a16="http://schemas.microsoft.com/office/drawing/2014/main" id="{546CF978-72AF-4377-A18B-B270358BD24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29</xdr:row>
          <xdr:rowOff>171450</xdr:rowOff>
        </xdr:from>
        <xdr:to>
          <xdr:col>12</xdr:col>
          <xdr:colOff>520700</xdr:colOff>
          <xdr:row>31</xdr:row>
          <xdr:rowOff>19050</xdr:rowOff>
        </xdr:to>
        <xdr:sp macro="" textlink="">
          <xdr:nvSpPr>
            <xdr:cNvPr id="25679" name="Check Box 79" hidden="1">
              <a:extLst>
                <a:ext uri="{63B3BB69-23CF-44E3-9099-C40C66FF867C}">
                  <a14:compatExt spid="_x0000_s25679"/>
                </a:ext>
                <a:ext uri="{FF2B5EF4-FFF2-40B4-BE49-F238E27FC236}">
                  <a16:creationId xmlns:a16="http://schemas.microsoft.com/office/drawing/2014/main" id="{55DC29F4-FE06-4D35-A113-58EC4FA9812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30</xdr:row>
          <xdr:rowOff>171450</xdr:rowOff>
        </xdr:from>
        <xdr:to>
          <xdr:col>12</xdr:col>
          <xdr:colOff>520700</xdr:colOff>
          <xdr:row>32</xdr:row>
          <xdr:rowOff>19050</xdr:rowOff>
        </xdr:to>
        <xdr:sp macro="" textlink="">
          <xdr:nvSpPr>
            <xdr:cNvPr id="25680" name="Check Box 80" hidden="1">
              <a:extLst>
                <a:ext uri="{63B3BB69-23CF-44E3-9099-C40C66FF867C}">
                  <a14:compatExt spid="_x0000_s25680"/>
                </a:ext>
                <a:ext uri="{FF2B5EF4-FFF2-40B4-BE49-F238E27FC236}">
                  <a16:creationId xmlns:a16="http://schemas.microsoft.com/office/drawing/2014/main" id="{CD16C25A-801C-4B6C-9424-CA80F1911D4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31</xdr:row>
          <xdr:rowOff>171450</xdr:rowOff>
        </xdr:from>
        <xdr:to>
          <xdr:col>12</xdr:col>
          <xdr:colOff>520700</xdr:colOff>
          <xdr:row>33</xdr:row>
          <xdr:rowOff>12700</xdr:rowOff>
        </xdr:to>
        <xdr:sp macro="" textlink="">
          <xdr:nvSpPr>
            <xdr:cNvPr id="25681" name="Check Box 81" hidden="1">
              <a:extLst>
                <a:ext uri="{63B3BB69-23CF-44E3-9099-C40C66FF867C}">
                  <a14:compatExt spid="_x0000_s25681"/>
                </a:ext>
                <a:ext uri="{FF2B5EF4-FFF2-40B4-BE49-F238E27FC236}">
                  <a16:creationId xmlns:a16="http://schemas.microsoft.com/office/drawing/2014/main" id="{76951B83-65E1-4DD8-9045-4582E800137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0E5F07-BB2A-4C51-A6A6-6B5D45AC007F}" name="Table2" displayName="Table2" ref="B8:I108" totalsRowShown="0" headerRowDxfId="23" headerRowBorderDxfId="22" tableBorderDxfId="21">
  <autoFilter ref="B8:I108" xr:uid="{1F0E5F07-BB2A-4C51-A6A6-6B5D45AC007F}"/>
  <tableColumns count="8">
    <tableColumn id="1" xr3:uid="{F5FD84C2-0BAB-47EF-89CC-E7A86A01E022}" name="Date" dataDxfId="20">
      <calculatedColumnFormula>B8+1</calculatedColumnFormula>
    </tableColumn>
    <tableColumn id="2" xr3:uid="{73DBF4E1-3958-4D44-BD6D-0BD5A0F9AEE3}" name="Location" dataDxfId="19">
      <calculatedColumnFormula>VLOOKUP(B9,'#1 Trip Dreaming'!$K$6:$M$30,3,TRUE)</calculatedColumnFormula>
    </tableColumn>
    <tableColumn id="3" xr3:uid="{D4FA654F-DCF9-4792-90A4-4EBDAF016B53}" name="Accomodation" dataDxfId="18">
      <calculatedColumnFormula>IF(VLOOKUP(B9,'#2 Accomodations'!$B$7:$F$31,5,TRUE)=0," ",VLOOKUP(B9,'#2 Accomodations'!$B$7:$F$31,5,TRUE))</calculatedColumnFormula>
    </tableColumn>
    <tableColumn id="4" xr3:uid="{AD1FE3EC-32A0-42BB-87C1-FF9A258E046F}" name="Traveling?" dataDxfId="17"/>
    <tableColumn id="5" xr3:uid="{BA84FF70-8E19-43D8-A469-DA71C453FA53}" name="Travel Plan" dataDxfId="16"/>
    <tableColumn id="6" xr3:uid="{E39C4AB0-D5F1-4FC2-B014-CCF525D39A10}" name="Day Plan/Activities" dataDxfId="15"/>
    <tableColumn id="7" xr3:uid="{DAE3DC39-DC6C-4952-9EBD-37DA8AE97A21}" name="Today's Budget" dataDxfId="14"/>
    <tableColumn id="8" xr3:uid="{9F385609-CD19-4319-94B1-0E2D6DA9E6CF}" name="Notes" dataDxfId="13"/>
  </tableColumns>
  <tableStyleInfo name="TableStyleLight11" showFirstColumn="0" showLastColumn="0" showRowStripes="1" showColumnStripes="0"/>
</table>
</file>

<file path=xl/theme/theme1.xml><?xml version="1.0" encoding="utf-8"?>
<a:theme xmlns:a="http://schemas.openxmlformats.org/drawingml/2006/main" name="Hayley's Theme">
  <a:themeElements>
    <a:clrScheme name="Hayleley">
      <a:dk1>
        <a:sysClr val="windowText" lastClr="000000"/>
      </a:dk1>
      <a:lt1>
        <a:sysClr val="window" lastClr="FFFFFF"/>
      </a:lt1>
      <a:dk2>
        <a:srgbClr val="345123"/>
      </a:dk2>
      <a:lt2>
        <a:srgbClr val="F8FFC7"/>
      </a:lt2>
      <a:accent1>
        <a:srgbClr val="C786ED"/>
      </a:accent1>
      <a:accent2>
        <a:srgbClr val="EEFF70"/>
      </a:accent2>
      <a:accent3>
        <a:srgbClr val="EEDEC9"/>
      </a:accent3>
      <a:accent4>
        <a:srgbClr val="D9B7ED"/>
      </a:accent4>
      <a:accent5>
        <a:srgbClr val="667C59"/>
      </a:accent5>
      <a:accent6>
        <a:srgbClr val="778038"/>
      </a:accent6>
      <a:hlink>
        <a:srgbClr val="D9B7ED"/>
      </a:hlink>
      <a:folHlink>
        <a:srgbClr val="C786E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61" Type="http://schemas.openxmlformats.org/officeDocument/2006/relationships/ctrlProp" Target="../ctrlProps/ctrlProp58.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3" Type="http://schemas.openxmlformats.org/officeDocument/2006/relationships/vmlDrawing" Target="../drawings/vmlDrawing4.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1" Type="http://schemas.openxmlformats.org/officeDocument/2006/relationships/printerSettings" Target="../printerSettings/printerSettings7.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6.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s>
</file>

<file path=xl/worksheets/_rels/sheet11.xml.rels><?xml version="1.0" encoding="UTF-8" standalone="yes"?>
<Relationships xmlns="http://schemas.openxmlformats.org/package/2006/relationships"><Relationship Id="rId26" Type="http://schemas.openxmlformats.org/officeDocument/2006/relationships/ctrlProp" Target="../ctrlProps/ctrlProp102.xml"/><Relationship Id="rId21" Type="http://schemas.openxmlformats.org/officeDocument/2006/relationships/ctrlProp" Target="../ctrlProps/ctrlProp97.xml"/><Relationship Id="rId42" Type="http://schemas.openxmlformats.org/officeDocument/2006/relationships/ctrlProp" Target="../ctrlProps/ctrlProp118.xml"/><Relationship Id="rId47" Type="http://schemas.openxmlformats.org/officeDocument/2006/relationships/ctrlProp" Target="../ctrlProps/ctrlProp123.xml"/><Relationship Id="rId63" Type="http://schemas.openxmlformats.org/officeDocument/2006/relationships/ctrlProp" Target="../ctrlProps/ctrlProp139.xml"/><Relationship Id="rId68" Type="http://schemas.openxmlformats.org/officeDocument/2006/relationships/ctrlProp" Target="../ctrlProps/ctrlProp144.xml"/><Relationship Id="rId16" Type="http://schemas.openxmlformats.org/officeDocument/2006/relationships/ctrlProp" Target="../ctrlProps/ctrlProp92.xml"/><Relationship Id="rId11" Type="http://schemas.openxmlformats.org/officeDocument/2006/relationships/ctrlProp" Target="../ctrlProps/ctrlProp87.xml"/><Relationship Id="rId32" Type="http://schemas.openxmlformats.org/officeDocument/2006/relationships/ctrlProp" Target="../ctrlProps/ctrlProp108.xml"/><Relationship Id="rId37" Type="http://schemas.openxmlformats.org/officeDocument/2006/relationships/ctrlProp" Target="../ctrlProps/ctrlProp113.xml"/><Relationship Id="rId53" Type="http://schemas.openxmlformats.org/officeDocument/2006/relationships/ctrlProp" Target="../ctrlProps/ctrlProp129.xml"/><Relationship Id="rId58" Type="http://schemas.openxmlformats.org/officeDocument/2006/relationships/ctrlProp" Target="../ctrlProps/ctrlProp134.xml"/><Relationship Id="rId74" Type="http://schemas.openxmlformats.org/officeDocument/2006/relationships/ctrlProp" Target="../ctrlProps/ctrlProp150.xml"/><Relationship Id="rId79" Type="http://schemas.openxmlformats.org/officeDocument/2006/relationships/ctrlProp" Target="../ctrlProps/ctrlProp155.xml"/><Relationship Id="rId5" Type="http://schemas.openxmlformats.org/officeDocument/2006/relationships/ctrlProp" Target="../ctrlProps/ctrlProp81.xml"/><Relationship Id="rId61" Type="http://schemas.openxmlformats.org/officeDocument/2006/relationships/ctrlProp" Target="../ctrlProps/ctrlProp137.xml"/><Relationship Id="rId82" Type="http://schemas.openxmlformats.org/officeDocument/2006/relationships/ctrlProp" Target="../ctrlProps/ctrlProp158.xml"/><Relationship Id="rId19" Type="http://schemas.openxmlformats.org/officeDocument/2006/relationships/ctrlProp" Target="../ctrlProps/ctrlProp95.xml"/><Relationship Id="rId14" Type="http://schemas.openxmlformats.org/officeDocument/2006/relationships/ctrlProp" Target="../ctrlProps/ctrlProp90.xml"/><Relationship Id="rId22" Type="http://schemas.openxmlformats.org/officeDocument/2006/relationships/ctrlProp" Target="../ctrlProps/ctrlProp98.xml"/><Relationship Id="rId27" Type="http://schemas.openxmlformats.org/officeDocument/2006/relationships/ctrlProp" Target="../ctrlProps/ctrlProp103.xml"/><Relationship Id="rId30" Type="http://schemas.openxmlformats.org/officeDocument/2006/relationships/ctrlProp" Target="../ctrlProps/ctrlProp106.xml"/><Relationship Id="rId35" Type="http://schemas.openxmlformats.org/officeDocument/2006/relationships/ctrlProp" Target="../ctrlProps/ctrlProp111.xml"/><Relationship Id="rId43" Type="http://schemas.openxmlformats.org/officeDocument/2006/relationships/ctrlProp" Target="../ctrlProps/ctrlProp119.xml"/><Relationship Id="rId48" Type="http://schemas.openxmlformats.org/officeDocument/2006/relationships/ctrlProp" Target="../ctrlProps/ctrlProp124.xml"/><Relationship Id="rId56" Type="http://schemas.openxmlformats.org/officeDocument/2006/relationships/ctrlProp" Target="../ctrlProps/ctrlProp132.xml"/><Relationship Id="rId64" Type="http://schemas.openxmlformats.org/officeDocument/2006/relationships/ctrlProp" Target="../ctrlProps/ctrlProp140.xml"/><Relationship Id="rId69" Type="http://schemas.openxmlformats.org/officeDocument/2006/relationships/ctrlProp" Target="../ctrlProps/ctrlProp145.xml"/><Relationship Id="rId77" Type="http://schemas.openxmlformats.org/officeDocument/2006/relationships/ctrlProp" Target="../ctrlProps/ctrlProp153.xml"/><Relationship Id="rId8" Type="http://schemas.openxmlformats.org/officeDocument/2006/relationships/ctrlProp" Target="../ctrlProps/ctrlProp84.xml"/><Relationship Id="rId51" Type="http://schemas.openxmlformats.org/officeDocument/2006/relationships/ctrlProp" Target="../ctrlProps/ctrlProp127.xml"/><Relationship Id="rId72" Type="http://schemas.openxmlformats.org/officeDocument/2006/relationships/ctrlProp" Target="../ctrlProps/ctrlProp148.xml"/><Relationship Id="rId80" Type="http://schemas.openxmlformats.org/officeDocument/2006/relationships/ctrlProp" Target="../ctrlProps/ctrlProp156.xml"/><Relationship Id="rId3" Type="http://schemas.openxmlformats.org/officeDocument/2006/relationships/ctrlProp" Target="../ctrlProps/ctrlProp79.xml"/><Relationship Id="rId12" Type="http://schemas.openxmlformats.org/officeDocument/2006/relationships/ctrlProp" Target="../ctrlProps/ctrlProp88.xml"/><Relationship Id="rId17" Type="http://schemas.openxmlformats.org/officeDocument/2006/relationships/ctrlProp" Target="../ctrlProps/ctrlProp93.xml"/><Relationship Id="rId25" Type="http://schemas.openxmlformats.org/officeDocument/2006/relationships/ctrlProp" Target="../ctrlProps/ctrlProp101.xml"/><Relationship Id="rId33" Type="http://schemas.openxmlformats.org/officeDocument/2006/relationships/ctrlProp" Target="../ctrlProps/ctrlProp109.xml"/><Relationship Id="rId38" Type="http://schemas.openxmlformats.org/officeDocument/2006/relationships/ctrlProp" Target="../ctrlProps/ctrlProp114.xml"/><Relationship Id="rId46" Type="http://schemas.openxmlformats.org/officeDocument/2006/relationships/ctrlProp" Target="../ctrlProps/ctrlProp122.xml"/><Relationship Id="rId59" Type="http://schemas.openxmlformats.org/officeDocument/2006/relationships/ctrlProp" Target="../ctrlProps/ctrlProp135.xml"/><Relationship Id="rId67" Type="http://schemas.openxmlformats.org/officeDocument/2006/relationships/ctrlProp" Target="../ctrlProps/ctrlProp143.xml"/><Relationship Id="rId20" Type="http://schemas.openxmlformats.org/officeDocument/2006/relationships/ctrlProp" Target="../ctrlProps/ctrlProp96.xml"/><Relationship Id="rId41" Type="http://schemas.openxmlformats.org/officeDocument/2006/relationships/ctrlProp" Target="../ctrlProps/ctrlProp117.xml"/><Relationship Id="rId54" Type="http://schemas.openxmlformats.org/officeDocument/2006/relationships/ctrlProp" Target="../ctrlProps/ctrlProp130.xml"/><Relationship Id="rId62" Type="http://schemas.openxmlformats.org/officeDocument/2006/relationships/ctrlProp" Target="../ctrlProps/ctrlProp138.xml"/><Relationship Id="rId70" Type="http://schemas.openxmlformats.org/officeDocument/2006/relationships/ctrlProp" Target="../ctrlProps/ctrlProp146.xml"/><Relationship Id="rId75" Type="http://schemas.openxmlformats.org/officeDocument/2006/relationships/ctrlProp" Target="../ctrlProps/ctrlProp151.xml"/><Relationship Id="rId83" Type="http://schemas.openxmlformats.org/officeDocument/2006/relationships/ctrlProp" Target="../ctrlProps/ctrlProp159.xml"/><Relationship Id="rId1" Type="http://schemas.openxmlformats.org/officeDocument/2006/relationships/drawing" Target="../drawings/drawing7.xml"/><Relationship Id="rId6" Type="http://schemas.openxmlformats.org/officeDocument/2006/relationships/ctrlProp" Target="../ctrlProps/ctrlProp82.xml"/><Relationship Id="rId15" Type="http://schemas.openxmlformats.org/officeDocument/2006/relationships/ctrlProp" Target="../ctrlProps/ctrlProp91.xml"/><Relationship Id="rId23" Type="http://schemas.openxmlformats.org/officeDocument/2006/relationships/ctrlProp" Target="../ctrlProps/ctrlProp99.xml"/><Relationship Id="rId28" Type="http://schemas.openxmlformats.org/officeDocument/2006/relationships/ctrlProp" Target="../ctrlProps/ctrlProp104.xml"/><Relationship Id="rId36" Type="http://schemas.openxmlformats.org/officeDocument/2006/relationships/ctrlProp" Target="../ctrlProps/ctrlProp112.xml"/><Relationship Id="rId49" Type="http://schemas.openxmlformats.org/officeDocument/2006/relationships/ctrlProp" Target="../ctrlProps/ctrlProp125.xml"/><Relationship Id="rId57" Type="http://schemas.openxmlformats.org/officeDocument/2006/relationships/ctrlProp" Target="../ctrlProps/ctrlProp133.xml"/><Relationship Id="rId10" Type="http://schemas.openxmlformats.org/officeDocument/2006/relationships/ctrlProp" Target="../ctrlProps/ctrlProp86.xml"/><Relationship Id="rId31" Type="http://schemas.openxmlformats.org/officeDocument/2006/relationships/ctrlProp" Target="../ctrlProps/ctrlProp107.xml"/><Relationship Id="rId44" Type="http://schemas.openxmlformats.org/officeDocument/2006/relationships/ctrlProp" Target="../ctrlProps/ctrlProp120.xml"/><Relationship Id="rId52" Type="http://schemas.openxmlformats.org/officeDocument/2006/relationships/ctrlProp" Target="../ctrlProps/ctrlProp128.xml"/><Relationship Id="rId60" Type="http://schemas.openxmlformats.org/officeDocument/2006/relationships/ctrlProp" Target="../ctrlProps/ctrlProp136.xml"/><Relationship Id="rId65" Type="http://schemas.openxmlformats.org/officeDocument/2006/relationships/ctrlProp" Target="../ctrlProps/ctrlProp141.xml"/><Relationship Id="rId73" Type="http://schemas.openxmlformats.org/officeDocument/2006/relationships/ctrlProp" Target="../ctrlProps/ctrlProp149.xml"/><Relationship Id="rId78" Type="http://schemas.openxmlformats.org/officeDocument/2006/relationships/ctrlProp" Target="../ctrlProps/ctrlProp154.xml"/><Relationship Id="rId81" Type="http://schemas.openxmlformats.org/officeDocument/2006/relationships/ctrlProp" Target="../ctrlProps/ctrlProp157.xml"/><Relationship Id="rId4" Type="http://schemas.openxmlformats.org/officeDocument/2006/relationships/ctrlProp" Target="../ctrlProps/ctrlProp80.xml"/><Relationship Id="rId9" Type="http://schemas.openxmlformats.org/officeDocument/2006/relationships/ctrlProp" Target="../ctrlProps/ctrlProp85.xml"/><Relationship Id="rId13" Type="http://schemas.openxmlformats.org/officeDocument/2006/relationships/ctrlProp" Target="../ctrlProps/ctrlProp89.xml"/><Relationship Id="rId18" Type="http://schemas.openxmlformats.org/officeDocument/2006/relationships/ctrlProp" Target="../ctrlProps/ctrlProp94.xml"/><Relationship Id="rId39" Type="http://schemas.openxmlformats.org/officeDocument/2006/relationships/ctrlProp" Target="../ctrlProps/ctrlProp115.xml"/><Relationship Id="rId34" Type="http://schemas.openxmlformats.org/officeDocument/2006/relationships/ctrlProp" Target="../ctrlProps/ctrlProp110.xml"/><Relationship Id="rId50" Type="http://schemas.openxmlformats.org/officeDocument/2006/relationships/ctrlProp" Target="../ctrlProps/ctrlProp126.xml"/><Relationship Id="rId55" Type="http://schemas.openxmlformats.org/officeDocument/2006/relationships/ctrlProp" Target="../ctrlProps/ctrlProp131.xml"/><Relationship Id="rId76" Type="http://schemas.openxmlformats.org/officeDocument/2006/relationships/ctrlProp" Target="../ctrlProps/ctrlProp152.xml"/><Relationship Id="rId7" Type="http://schemas.openxmlformats.org/officeDocument/2006/relationships/ctrlProp" Target="../ctrlProps/ctrlProp83.xml"/><Relationship Id="rId71" Type="http://schemas.openxmlformats.org/officeDocument/2006/relationships/ctrlProp" Target="../ctrlProps/ctrlProp147.xml"/><Relationship Id="rId2" Type="http://schemas.openxmlformats.org/officeDocument/2006/relationships/vmlDrawing" Target="../drawings/vmlDrawing5.vml"/><Relationship Id="rId29" Type="http://schemas.openxmlformats.org/officeDocument/2006/relationships/ctrlProp" Target="../ctrlProps/ctrlProp105.xml"/><Relationship Id="rId24" Type="http://schemas.openxmlformats.org/officeDocument/2006/relationships/ctrlProp" Target="../ctrlProps/ctrlProp100.xml"/><Relationship Id="rId40" Type="http://schemas.openxmlformats.org/officeDocument/2006/relationships/ctrlProp" Target="../ctrlProps/ctrlProp116.xml"/><Relationship Id="rId45" Type="http://schemas.openxmlformats.org/officeDocument/2006/relationships/ctrlProp" Target="../ctrlProps/ctrlProp121.xml"/><Relationship Id="rId66" Type="http://schemas.openxmlformats.org/officeDocument/2006/relationships/ctrlProp" Target="../ctrlProps/ctrlProp14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B95F6-EEF2-41AC-8A23-56047FDC1B30}">
  <sheetPr codeName="Sheet2">
    <tabColor theme="1"/>
  </sheetPr>
  <dimension ref="A1:V34"/>
  <sheetViews>
    <sheetView zoomScaleNormal="100" workbookViewId="0">
      <selection activeCell="M33" sqref="M33"/>
    </sheetView>
  </sheetViews>
  <sheetFormatPr defaultRowHeight="14.5" x14ac:dyDescent="0.35"/>
  <cols>
    <col min="22" max="22" width="15.08984375" customWidth="1"/>
  </cols>
  <sheetData>
    <row r="1" spans="1:22" ht="74" customHeight="1" x14ac:dyDescent="0.55000000000000004">
      <c r="A1" s="235" t="s">
        <v>0</v>
      </c>
      <c r="B1" s="235"/>
      <c r="C1" s="235"/>
      <c r="D1" s="235"/>
      <c r="E1" s="235"/>
      <c r="F1" s="235"/>
      <c r="G1" s="235"/>
      <c r="H1" s="235"/>
      <c r="I1" s="235"/>
      <c r="J1" s="235"/>
      <c r="K1" s="235"/>
      <c r="L1" s="235"/>
      <c r="M1" s="235"/>
      <c r="N1" s="235"/>
      <c r="O1" s="235"/>
      <c r="P1" s="235"/>
      <c r="Q1" s="235"/>
      <c r="R1" s="235"/>
      <c r="S1" s="235"/>
      <c r="T1" s="235"/>
      <c r="U1" s="235"/>
      <c r="V1" s="235"/>
    </row>
    <row r="2" spans="1:22" s="1" customFormat="1" x14ac:dyDescent="0.35">
      <c r="A2" s="236" t="s">
        <v>184</v>
      </c>
      <c r="B2" s="236"/>
      <c r="C2" s="236"/>
      <c r="D2" s="236"/>
      <c r="E2" s="236"/>
      <c r="F2" s="236"/>
      <c r="G2" s="236"/>
      <c r="H2" s="236"/>
      <c r="I2" s="236"/>
      <c r="J2" s="236"/>
      <c r="K2" s="236"/>
      <c r="L2" s="236"/>
      <c r="M2" s="236"/>
      <c r="N2" s="236"/>
      <c r="O2" s="236"/>
      <c r="P2" s="236"/>
      <c r="Q2" s="236"/>
      <c r="R2" s="236"/>
      <c r="S2" s="236"/>
      <c r="T2" s="236"/>
      <c r="U2" s="236"/>
      <c r="V2" s="236"/>
    </row>
    <row r="3" spans="1:22" x14ac:dyDescent="0.35">
      <c r="A3" s="2"/>
      <c r="B3" s="2"/>
      <c r="C3" s="2"/>
      <c r="D3" s="2"/>
      <c r="E3" s="2"/>
      <c r="F3" s="2"/>
      <c r="G3" s="2"/>
      <c r="H3" s="2"/>
      <c r="I3" s="2"/>
      <c r="J3" s="2"/>
      <c r="K3" s="2"/>
      <c r="L3" s="2"/>
      <c r="M3" s="2"/>
      <c r="N3" s="2"/>
      <c r="O3" s="2"/>
      <c r="P3" s="2"/>
      <c r="Q3" s="2"/>
      <c r="R3" s="2"/>
      <c r="S3" s="2"/>
      <c r="T3" s="2"/>
      <c r="U3" s="2"/>
      <c r="V3" s="2"/>
    </row>
    <row r="4" spans="1:22" x14ac:dyDescent="0.35">
      <c r="A4" s="2"/>
      <c r="B4" s="2"/>
      <c r="C4" s="2"/>
      <c r="D4" s="150"/>
      <c r="E4" s="2"/>
      <c r="F4" s="2"/>
      <c r="G4" s="2"/>
      <c r="H4" s="2"/>
      <c r="I4" s="2"/>
      <c r="J4" s="2"/>
      <c r="K4" s="2"/>
      <c r="L4" s="2"/>
      <c r="M4" s="2"/>
      <c r="N4" s="2"/>
      <c r="O4" s="2"/>
      <c r="P4" s="2"/>
      <c r="Q4" s="2"/>
      <c r="R4" s="2"/>
      <c r="S4" s="2"/>
      <c r="T4" s="2"/>
      <c r="U4" s="2"/>
      <c r="V4" s="2"/>
    </row>
    <row r="5" spans="1:22" x14ac:dyDescent="0.35">
      <c r="A5" s="2"/>
      <c r="B5" s="2"/>
      <c r="C5" s="2"/>
      <c r="D5" s="2"/>
      <c r="E5" s="2"/>
      <c r="F5" s="2"/>
      <c r="G5" s="2"/>
      <c r="H5" s="2"/>
      <c r="I5" s="2"/>
      <c r="J5" s="2"/>
      <c r="K5" s="2"/>
      <c r="L5" s="2"/>
      <c r="M5" s="2"/>
      <c r="N5" s="2"/>
      <c r="O5" s="2"/>
      <c r="P5" s="2"/>
      <c r="Q5" s="2"/>
      <c r="R5" s="2"/>
      <c r="S5" s="2"/>
      <c r="T5" s="2"/>
      <c r="U5" s="2"/>
      <c r="V5" s="2"/>
    </row>
    <row r="6" spans="1:22" x14ac:dyDescent="0.35">
      <c r="A6" s="2"/>
      <c r="B6" s="2"/>
      <c r="C6" s="2"/>
      <c r="D6" s="2"/>
      <c r="E6" s="2"/>
      <c r="F6" s="2"/>
      <c r="G6" s="2"/>
      <c r="H6" s="2"/>
      <c r="I6" s="2"/>
      <c r="J6" s="2"/>
      <c r="K6" s="2"/>
      <c r="L6" s="2"/>
      <c r="M6" s="2"/>
      <c r="N6" s="2"/>
      <c r="O6" s="2"/>
      <c r="P6" s="2"/>
      <c r="Q6" s="2"/>
      <c r="R6" s="2"/>
      <c r="S6" s="2"/>
      <c r="T6" s="2"/>
      <c r="U6" s="2"/>
      <c r="V6" s="2"/>
    </row>
    <row r="7" spans="1:22" x14ac:dyDescent="0.35">
      <c r="A7" s="2"/>
      <c r="B7" s="2"/>
      <c r="C7" s="2"/>
      <c r="D7" s="2"/>
      <c r="E7" s="2"/>
      <c r="F7" s="2"/>
      <c r="G7" s="2"/>
      <c r="H7" s="2"/>
      <c r="I7" s="2"/>
      <c r="J7" s="2"/>
      <c r="K7" s="2"/>
      <c r="L7" s="2"/>
      <c r="M7" s="2"/>
      <c r="N7" s="2"/>
      <c r="O7" s="2"/>
      <c r="P7" s="2"/>
      <c r="Q7" s="2"/>
      <c r="R7" s="2"/>
      <c r="S7" s="2"/>
      <c r="T7" s="2"/>
      <c r="U7" s="2"/>
      <c r="V7" s="2"/>
    </row>
    <row r="8" spans="1:22" x14ac:dyDescent="0.35">
      <c r="A8" s="2"/>
      <c r="B8" s="2"/>
      <c r="C8" s="2"/>
      <c r="D8" s="2"/>
      <c r="E8" s="2"/>
      <c r="F8" s="2"/>
      <c r="G8" s="2"/>
      <c r="H8" s="2"/>
      <c r="I8" s="2"/>
      <c r="J8" s="2"/>
      <c r="K8" s="2"/>
      <c r="L8" s="2"/>
      <c r="M8" s="2"/>
      <c r="N8" s="2"/>
      <c r="O8" s="2"/>
      <c r="P8" s="2"/>
      <c r="Q8" s="2"/>
      <c r="R8" s="2"/>
      <c r="S8" s="2"/>
      <c r="T8" s="2"/>
      <c r="U8" s="2"/>
      <c r="V8" s="2"/>
    </row>
    <row r="9" spans="1:22" x14ac:dyDescent="0.35">
      <c r="A9" s="2"/>
      <c r="B9" s="2"/>
      <c r="C9" s="2"/>
      <c r="D9" s="2"/>
      <c r="E9" s="2"/>
      <c r="F9" s="2"/>
      <c r="G9" s="2"/>
      <c r="H9" s="2"/>
      <c r="I9" s="2"/>
      <c r="J9" s="2"/>
      <c r="K9" s="2"/>
      <c r="L9" s="2"/>
      <c r="M9" s="2"/>
      <c r="N9" s="2"/>
      <c r="O9" s="2"/>
      <c r="P9" s="2"/>
      <c r="Q9" s="2"/>
      <c r="R9" s="2"/>
      <c r="S9" s="2"/>
      <c r="T9" s="2"/>
      <c r="U9" s="2"/>
      <c r="V9" s="2"/>
    </row>
    <row r="10" spans="1:22" x14ac:dyDescent="0.35">
      <c r="A10" s="2"/>
      <c r="B10" s="2"/>
      <c r="C10" s="2"/>
      <c r="D10" s="2"/>
      <c r="E10" s="2"/>
      <c r="F10" s="2"/>
      <c r="G10" s="2"/>
      <c r="H10" s="2"/>
      <c r="I10" s="2"/>
      <c r="J10" s="2"/>
      <c r="K10" s="2"/>
      <c r="L10" s="2"/>
      <c r="M10" s="2"/>
      <c r="N10" s="2"/>
      <c r="O10" s="2"/>
      <c r="P10" s="2"/>
      <c r="Q10" s="2"/>
      <c r="R10" s="2"/>
      <c r="S10" s="2"/>
      <c r="T10" s="2"/>
      <c r="U10" s="2"/>
      <c r="V10" s="2"/>
    </row>
    <row r="11" spans="1:22" x14ac:dyDescent="0.35">
      <c r="A11" s="2"/>
      <c r="B11" s="2"/>
      <c r="C11" s="2"/>
      <c r="D11" s="2"/>
      <c r="E11" s="2"/>
      <c r="F11" s="2"/>
      <c r="G11" s="2"/>
      <c r="H11" s="2"/>
      <c r="I11" s="2"/>
      <c r="J11" s="2"/>
      <c r="K11" s="2"/>
      <c r="L11" s="2"/>
      <c r="M11" s="2"/>
      <c r="N11" s="2"/>
      <c r="O11" s="2"/>
      <c r="P11" s="2"/>
      <c r="Q11" s="2"/>
      <c r="R11" s="2"/>
      <c r="S11" s="2"/>
      <c r="T11" s="2"/>
      <c r="U11" s="2"/>
      <c r="V11" s="2"/>
    </row>
    <row r="12" spans="1:22" x14ac:dyDescent="0.35">
      <c r="A12" s="2"/>
      <c r="B12" s="2"/>
      <c r="C12" s="2"/>
      <c r="D12" s="2"/>
      <c r="E12" s="2"/>
      <c r="F12" s="2"/>
      <c r="G12" s="2"/>
      <c r="H12" s="2"/>
      <c r="I12" s="2"/>
      <c r="J12" s="2"/>
      <c r="K12" s="2"/>
      <c r="L12" s="2"/>
      <c r="M12" s="2"/>
      <c r="N12" s="2"/>
      <c r="O12" s="2"/>
      <c r="P12" s="2"/>
      <c r="Q12" s="2"/>
      <c r="R12" s="2"/>
      <c r="S12" s="2"/>
      <c r="T12" s="2"/>
      <c r="U12" s="2"/>
      <c r="V12" s="2"/>
    </row>
    <row r="13" spans="1:22" x14ac:dyDescent="0.35">
      <c r="A13" s="2"/>
      <c r="B13" s="2"/>
      <c r="C13" s="2"/>
      <c r="D13" s="2"/>
      <c r="E13" s="2"/>
      <c r="F13" s="2"/>
      <c r="G13" s="2"/>
      <c r="H13" s="2"/>
      <c r="I13" s="2"/>
      <c r="J13" s="2"/>
      <c r="K13" s="2"/>
      <c r="L13" s="2"/>
      <c r="M13" s="2"/>
      <c r="N13" s="2"/>
      <c r="O13" s="2"/>
      <c r="P13" s="2"/>
      <c r="Q13" s="2"/>
      <c r="R13" s="2"/>
      <c r="S13" s="2"/>
      <c r="T13" s="2"/>
      <c r="U13" s="2"/>
      <c r="V13" s="2"/>
    </row>
    <row r="14" spans="1:22" x14ac:dyDescent="0.35">
      <c r="A14" s="2"/>
      <c r="B14" s="2"/>
      <c r="C14" s="2"/>
      <c r="D14" s="2"/>
      <c r="E14" s="2"/>
      <c r="F14" s="2"/>
      <c r="G14" s="2"/>
      <c r="H14" s="2"/>
      <c r="I14" s="2"/>
      <c r="J14" s="2"/>
      <c r="K14" s="2"/>
      <c r="L14" s="2"/>
      <c r="M14" s="2"/>
      <c r="N14" s="2"/>
      <c r="O14" s="2"/>
      <c r="P14" s="2"/>
      <c r="Q14" s="2"/>
      <c r="R14" s="2"/>
      <c r="S14" s="2"/>
      <c r="T14" s="2"/>
      <c r="U14" s="2"/>
      <c r="V14" s="2"/>
    </row>
    <row r="15" spans="1:22" x14ac:dyDescent="0.35">
      <c r="A15" s="2"/>
      <c r="B15" s="2"/>
      <c r="C15" s="2"/>
      <c r="D15" s="2"/>
      <c r="E15" s="2"/>
      <c r="F15" s="2"/>
      <c r="G15" s="2"/>
      <c r="H15" s="2"/>
      <c r="I15" s="2"/>
      <c r="J15" s="2"/>
      <c r="K15" s="2"/>
      <c r="L15" s="2"/>
      <c r="M15" s="2"/>
      <c r="N15" s="2"/>
      <c r="O15" s="2"/>
      <c r="P15" s="2"/>
      <c r="Q15" s="2"/>
      <c r="R15" s="2"/>
      <c r="S15" s="2"/>
      <c r="T15" s="2"/>
      <c r="U15" s="2"/>
      <c r="V15" s="2"/>
    </row>
    <row r="16" spans="1:22" x14ac:dyDescent="0.35">
      <c r="A16" s="2"/>
      <c r="B16" s="2"/>
      <c r="C16" s="2"/>
      <c r="D16" s="2"/>
      <c r="E16" s="2"/>
      <c r="F16" s="2"/>
      <c r="G16" s="2"/>
      <c r="H16" s="2"/>
      <c r="I16" s="2"/>
      <c r="J16" s="2"/>
      <c r="K16" s="2"/>
      <c r="L16" s="2"/>
      <c r="M16" s="2"/>
      <c r="N16" s="2"/>
      <c r="O16" s="2"/>
      <c r="P16" s="2"/>
      <c r="Q16" s="2"/>
      <c r="R16" s="2"/>
      <c r="S16" s="2"/>
      <c r="T16" s="2"/>
      <c r="U16" s="2"/>
      <c r="V16" s="2"/>
    </row>
    <row r="17" spans="1:22" x14ac:dyDescent="0.35">
      <c r="A17" s="2"/>
      <c r="B17" s="2"/>
      <c r="C17" s="2"/>
      <c r="D17" s="2"/>
      <c r="E17" s="2"/>
      <c r="F17" s="2"/>
      <c r="G17" s="2"/>
      <c r="H17" s="2"/>
      <c r="I17" s="2"/>
      <c r="J17" s="2"/>
      <c r="K17" s="2"/>
      <c r="L17" s="2"/>
      <c r="M17" s="2"/>
      <c r="N17" s="2"/>
      <c r="O17" s="2"/>
      <c r="P17" s="2"/>
      <c r="Q17" s="2"/>
      <c r="R17" s="2"/>
      <c r="S17" s="2"/>
      <c r="T17" s="2"/>
      <c r="U17" s="2"/>
      <c r="V17" s="2"/>
    </row>
    <row r="18" spans="1:22" x14ac:dyDescent="0.35">
      <c r="A18" s="2"/>
      <c r="B18" s="2"/>
      <c r="C18" s="2"/>
      <c r="D18" s="2"/>
      <c r="E18" s="2"/>
      <c r="F18" s="2"/>
      <c r="G18" s="2"/>
      <c r="H18" s="2"/>
      <c r="I18" s="2"/>
      <c r="J18" s="2"/>
      <c r="K18" s="2"/>
      <c r="L18" s="2"/>
      <c r="M18" s="2"/>
      <c r="N18" s="2"/>
      <c r="O18" s="2"/>
      <c r="P18" s="2"/>
      <c r="Q18" s="2"/>
      <c r="R18" s="2"/>
      <c r="S18" s="2"/>
      <c r="T18" s="2"/>
      <c r="U18" s="2"/>
      <c r="V18" s="2"/>
    </row>
    <row r="19" spans="1:22" x14ac:dyDescent="0.35">
      <c r="A19" s="2"/>
      <c r="B19" s="2"/>
      <c r="C19" s="2"/>
      <c r="D19" s="2"/>
      <c r="E19" s="2"/>
      <c r="F19" s="2"/>
      <c r="G19" s="2"/>
      <c r="H19" s="2"/>
      <c r="I19" s="2"/>
      <c r="J19" s="2"/>
      <c r="K19" s="2"/>
      <c r="L19" s="2"/>
      <c r="M19" s="2"/>
      <c r="N19" s="2"/>
      <c r="O19" s="2"/>
      <c r="P19" s="2"/>
      <c r="Q19" s="2"/>
      <c r="R19" s="2"/>
      <c r="S19" s="2"/>
      <c r="T19" s="2"/>
      <c r="U19" s="2"/>
      <c r="V19" s="2"/>
    </row>
    <row r="20" spans="1:22" x14ac:dyDescent="0.35">
      <c r="A20" s="2"/>
      <c r="B20" s="2"/>
      <c r="C20" s="2"/>
      <c r="D20" s="2"/>
      <c r="E20" s="2"/>
      <c r="F20" s="2"/>
      <c r="G20" s="2"/>
      <c r="H20" s="2"/>
      <c r="I20" s="2"/>
      <c r="J20" s="2"/>
      <c r="K20" s="2"/>
      <c r="L20" s="2"/>
      <c r="M20" s="2"/>
      <c r="N20" s="2"/>
      <c r="O20" s="2"/>
      <c r="P20" s="2"/>
      <c r="Q20" s="2"/>
      <c r="R20" s="2"/>
      <c r="S20" s="2"/>
      <c r="T20" s="2"/>
      <c r="U20" s="2"/>
      <c r="V20" s="2"/>
    </row>
    <row r="21" spans="1:22" x14ac:dyDescent="0.35">
      <c r="A21" s="2"/>
      <c r="B21" s="2"/>
      <c r="C21" s="2"/>
      <c r="D21" s="2"/>
      <c r="E21" s="2"/>
      <c r="F21" s="2"/>
      <c r="G21" s="2"/>
      <c r="H21" s="2"/>
      <c r="I21" s="2"/>
      <c r="J21" s="2"/>
      <c r="K21" s="2"/>
      <c r="L21" s="2"/>
      <c r="M21" s="2"/>
      <c r="N21" s="2"/>
      <c r="O21" s="2"/>
      <c r="P21" s="2"/>
      <c r="Q21" s="2"/>
      <c r="R21" s="2"/>
      <c r="S21" s="2"/>
      <c r="T21" s="2"/>
      <c r="U21" s="2"/>
      <c r="V21" s="2"/>
    </row>
    <row r="22" spans="1:22" x14ac:dyDescent="0.35">
      <c r="A22" s="2"/>
      <c r="B22" s="2"/>
      <c r="C22" s="2"/>
      <c r="D22" s="2"/>
      <c r="E22" s="2"/>
      <c r="F22" s="2"/>
      <c r="G22" s="2"/>
      <c r="H22" s="2"/>
      <c r="I22" s="2"/>
      <c r="J22" s="2"/>
      <c r="K22" s="2"/>
      <c r="L22" s="2"/>
      <c r="M22" s="2"/>
      <c r="N22" s="2"/>
      <c r="O22" s="2"/>
      <c r="P22" s="2"/>
      <c r="Q22" s="2"/>
      <c r="R22" s="2"/>
      <c r="S22" s="2"/>
      <c r="T22" s="2"/>
      <c r="U22" s="2"/>
      <c r="V22" s="2"/>
    </row>
    <row r="23" spans="1:22" x14ac:dyDescent="0.35">
      <c r="A23" s="2"/>
      <c r="B23" s="2"/>
      <c r="C23" s="2"/>
      <c r="D23" s="2"/>
      <c r="E23" s="2"/>
      <c r="F23" s="2"/>
      <c r="G23" s="2"/>
      <c r="H23" s="2"/>
      <c r="I23" s="2"/>
      <c r="J23" s="2"/>
      <c r="K23" s="2"/>
      <c r="L23" s="2"/>
      <c r="M23" s="2"/>
      <c r="N23" s="2"/>
      <c r="O23" s="2"/>
      <c r="P23" s="2"/>
      <c r="Q23" s="2"/>
      <c r="R23" s="2"/>
      <c r="S23" s="2"/>
      <c r="T23" s="2"/>
      <c r="U23" s="2"/>
      <c r="V23" s="2"/>
    </row>
    <row r="24" spans="1:22" x14ac:dyDescent="0.35">
      <c r="A24" s="2"/>
      <c r="B24" s="2"/>
      <c r="C24" s="2"/>
      <c r="D24" s="2"/>
      <c r="E24" s="2"/>
      <c r="F24" s="2"/>
      <c r="G24" s="2"/>
      <c r="H24" s="2"/>
      <c r="I24" s="2"/>
      <c r="J24" s="2"/>
      <c r="K24" s="2"/>
      <c r="L24" s="2"/>
      <c r="M24" s="2"/>
      <c r="N24" s="2"/>
      <c r="O24" s="2"/>
      <c r="P24" s="2"/>
      <c r="Q24" s="2"/>
      <c r="R24" s="2"/>
      <c r="S24" s="2"/>
      <c r="T24" s="2"/>
      <c r="U24" s="2"/>
      <c r="V24" s="2"/>
    </row>
    <row r="25" spans="1:22" x14ac:dyDescent="0.35">
      <c r="A25" s="2"/>
      <c r="B25" s="2"/>
      <c r="C25" s="2"/>
      <c r="D25" s="2"/>
      <c r="E25" s="2"/>
      <c r="F25" s="2"/>
      <c r="G25" s="2"/>
      <c r="H25" s="2"/>
      <c r="I25" s="2"/>
      <c r="J25" s="2"/>
      <c r="K25" s="2"/>
      <c r="L25" s="2"/>
      <c r="M25" s="2"/>
      <c r="N25" s="2"/>
      <c r="O25" s="2"/>
      <c r="P25" s="2"/>
      <c r="Q25" s="2"/>
      <c r="R25" s="2"/>
      <c r="S25" s="2"/>
      <c r="T25" s="2"/>
      <c r="U25" s="2"/>
      <c r="V25" s="2"/>
    </row>
    <row r="26" spans="1:22" x14ac:dyDescent="0.35">
      <c r="A26" s="2"/>
      <c r="B26" s="2"/>
      <c r="C26" s="2"/>
      <c r="D26" s="2"/>
      <c r="E26" s="2"/>
      <c r="F26" s="2"/>
      <c r="G26" s="2"/>
      <c r="H26" s="2"/>
      <c r="I26" s="2"/>
      <c r="J26" s="2"/>
      <c r="K26" s="2"/>
      <c r="L26" s="2"/>
      <c r="M26" s="2"/>
      <c r="N26" s="2"/>
      <c r="O26" s="2"/>
      <c r="P26" s="2"/>
      <c r="Q26" s="2"/>
      <c r="R26" s="2"/>
      <c r="S26" s="2"/>
      <c r="T26" s="2"/>
      <c r="U26" s="2"/>
      <c r="V26" s="2"/>
    </row>
    <row r="27" spans="1:22" x14ac:dyDescent="0.35">
      <c r="A27" s="2"/>
      <c r="B27" s="2"/>
      <c r="C27" s="2"/>
      <c r="D27" s="2"/>
      <c r="E27" s="2"/>
      <c r="F27" s="2"/>
      <c r="G27" s="2"/>
      <c r="H27" s="2"/>
      <c r="I27" s="2"/>
      <c r="J27" s="2"/>
      <c r="K27" s="2"/>
      <c r="L27" s="2"/>
      <c r="M27" s="2"/>
      <c r="N27" s="2"/>
      <c r="O27" s="2"/>
      <c r="P27" s="2"/>
      <c r="Q27" s="2"/>
      <c r="R27" s="2"/>
      <c r="S27" s="2"/>
      <c r="T27" s="2"/>
      <c r="U27" s="2"/>
      <c r="V27" s="2"/>
    </row>
    <row r="28" spans="1:22" x14ac:dyDescent="0.35">
      <c r="A28" s="2"/>
      <c r="B28" s="2"/>
      <c r="C28" s="2"/>
      <c r="D28" s="2"/>
      <c r="E28" s="2"/>
      <c r="F28" s="2"/>
      <c r="G28" s="2"/>
      <c r="H28" s="2"/>
      <c r="I28" s="2"/>
      <c r="J28" s="2"/>
      <c r="K28" s="2"/>
      <c r="L28" s="2"/>
      <c r="M28" s="2"/>
      <c r="N28" s="2"/>
      <c r="O28" s="2"/>
      <c r="P28" s="2"/>
      <c r="Q28" s="2"/>
      <c r="R28" s="2"/>
      <c r="S28" s="2"/>
      <c r="T28" s="2"/>
      <c r="U28" s="2"/>
      <c r="V28" s="2"/>
    </row>
    <row r="29" spans="1:22" x14ac:dyDescent="0.35">
      <c r="A29" s="2"/>
      <c r="B29" s="2"/>
      <c r="C29" s="2"/>
      <c r="D29" s="2"/>
      <c r="E29" s="2"/>
      <c r="F29" s="2"/>
      <c r="G29" s="2"/>
      <c r="H29" s="2"/>
      <c r="I29" s="2"/>
      <c r="J29" s="2"/>
      <c r="K29" s="2"/>
      <c r="L29" s="2"/>
      <c r="M29" s="2"/>
      <c r="N29" s="2"/>
      <c r="O29" s="2"/>
      <c r="P29" s="2"/>
      <c r="Q29" s="2"/>
      <c r="R29" s="2"/>
      <c r="S29" s="2"/>
      <c r="T29" s="2"/>
      <c r="U29" s="2"/>
      <c r="V29" s="2"/>
    </row>
    <row r="30" spans="1:22" x14ac:dyDescent="0.35">
      <c r="A30" s="2"/>
      <c r="B30" s="2"/>
      <c r="C30" s="2"/>
      <c r="D30" s="2"/>
      <c r="E30" s="2"/>
      <c r="F30" s="2"/>
      <c r="G30" s="2"/>
      <c r="H30" s="2"/>
      <c r="I30" s="2"/>
      <c r="J30" s="2"/>
      <c r="K30" s="2"/>
      <c r="L30" s="2"/>
      <c r="M30" s="2"/>
      <c r="N30" s="2"/>
      <c r="O30" s="2"/>
      <c r="P30" s="2"/>
      <c r="Q30" s="2"/>
      <c r="R30" s="2"/>
      <c r="S30" s="2"/>
      <c r="T30" s="2"/>
      <c r="U30" s="2"/>
      <c r="V30" s="2"/>
    </row>
    <row r="31" spans="1:22" x14ac:dyDescent="0.35">
      <c r="A31" s="2"/>
      <c r="B31" s="2"/>
      <c r="C31" s="2"/>
      <c r="D31" s="2"/>
      <c r="E31" s="2"/>
      <c r="F31" s="2"/>
      <c r="G31" s="2"/>
      <c r="H31" s="2"/>
      <c r="I31" s="2"/>
      <c r="J31" s="2"/>
      <c r="K31" s="2"/>
      <c r="L31" s="2"/>
      <c r="M31" s="2"/>
      <c r="N31" s="2"/>
      <c r="O31" s="2"/>
      <c r="P31" s="2"/>
      <c r="Q31" s="2"/>
      <c r="R31" s="2"/>
      <c r="S31" s="2"/>
      <c r="T31" s="2"/>
      <c r="U31" s="2"/>
      <c r="V31" s="2"/>
    </row>
    <row r="32" spans="1:22" x14ac:dyDescent="0.35">
      <c r="A32" s="1"/>
      <c r="B32" s="1"/>
      <c r="C32" s="1"/>
      <c r="D32" s="1"/>
      <c r="E32" s="1"/>
      <c r="F32" s="1"/>
      <c r="G32" s="1"/>
      <c r="H32" s="1"/>
      <c r="I32" s="1"/>
      <c r="J32" s="1"/>
      <c r="K32" s="1"/>
      <c r="L32" s="1"/>
      <c r="M32" s="1"/>
      <c r="N32" s="1"/>
      <c r="O32" s="1"/>
      <c r="P32" s="1"/>
      <c r="Q32" s="1"/>
      <c r="R32" s="1"/>
      <c r="S32" s="1"/>
      <c r="T32" s="1"/>
      <c r="U32" s="1"/>
      <c r="V32" s="1"/>
    </row>
    <row r="33" spans="1:22" x14ac:dyDescent="0.35">
      <c r="A33" s="1"/>
      <c r="B33" s="1"/>
      <c r="C33" s="1"/>
      <c r="D33" s="1"/>
      <c r="E33" s="1"/>
      <c r="F33" s="1"/>
      <c r="G33" s="1"/>
      <c r="H33" s="1"/>
      <c r="I33" s="1"/>
      <c r="J33" s="1"/>
      <c r="K33" s="1"/>
      <c r="L33" s="1"/>
      <c r="M33" s="1"/>
      <c r="N33" s="1"/>
      <c r="O33" s="1"/>
      <c r="P33" s="1"/>
      <c r="Q33" s="1"/>
      <c r="R33" s="1"/>
      <c r="S33" s="1"/>
      <c r="T33" s="1"/>
      <c r="U33" s="1"/>
      <c r="V33" s="1"/>
    </row>
    <row r="34" spans="1:22" x14ac:dyDescent="0.35">
      <c r="A34" s="1"/>
      <c r="B34" s="1"/>
      <c r="C34" s="1"/>
      <c r="D34" s="1"/>
      <c r="E34" s="1"/>
      <c r="F34" s="1"/>
      <c r="G34" s="1"/>
      <c r="H34" s="1"/>
      <c r="I34" s="1"/>
      <c r="J34" s="1"/>
      <c r="K34" s="1"/>
      <c r="L34" s="1"/>
      <c r="M34" s="1"/>
      <c r="N34" s="1"/>
      <c r="O34" s="1"/>
      <c r="P34" s="1"/>
      <c r="Q34" s="1"/>
      <c r="R34" s="1"/>
      <c r="S34" s="1"/>
      <c r="T34" s="1"/>
      <c r="U34" s="1"/>
      <c r="V34" s="1"/>
    </row>
  </sheetData>
  <mergeCells count="2">
    <mergeCell ref="A1:V1"/>
    <mergeCell ref="A2:V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DDB95-5F73-4E6B-8168-A1BC72CFC35D}">
  <sheetPr codeName="Sheet3">
    <tabColor theme="2" tint="-0.499984740745262"/>
  </sheetPr>
  <dimension ref="A1:W34"/>
  <sheetViews>
    <sheetView zoomScaleNormal="100" workbookViewId="0">
      <selection activeCell="N21" sqref="N21"/>
    </sheetView>
  </sheetViews>
  <sheetFormatPr defaultRowHeight="14.5" x14ac:dyDescent="0.35"/>
  <sheetData>
    <row r="1" spans="1:23" x14ac:dyDescent="0.35">
      <c r="A1" s="104"/>
      <c r="B1" s="104"/>
      <c r="C1" s="104"/>
      <c r="D1" s="104"/>
      <c r="E1" s="104"/>
      <c r="F1" s="104"/>
      <c r="G1" s="104"/>
      <c r="H1" s="104"/>
      <c r="I1" s="104"/>
      <c r="J1" s="104"/>
      <c r="K1" s="104"/>
      <c r="L1" s="104"/>
      <c r="M1" s="104"/>
      <c r="N1" s="104"/>
      <c r="O1" s="104"/>
      <c r="P1" s="104"/>
      <c r="Q1" s="104"/>
      <c r="R1" s="104"/>
      <c r="S1" s="104"/>
      <c r="T1" s="104"/>
      <c r="U1" s="104"/>
      <c r="V1" s="104"/>
      <c r="W1" s="104"/>
    </row>
    <row r="2" spans="1:23" x14ac:dyDescent="0.35">
      <c r="A2" s="104"/>
      <c r="B2" s="104"/>
      <c r="C2" s="104"/>
      <c r="D2" s="104"/>
      <c r="E2" s="104"/>
      <c r="F2" s="104"/>
      <c r="G2" s="104"/>
      <c r="H2" s="104"/>
      <c r="I2" s="104"/>
      <c r="J2" s="104"/>
      <c r="K2" s="104"/>
      <c r="L2" s="104"/>
      <c r="M2" s="104"/>
      <c r="N2" s="104"/>
      <c r="O2" s="104"/>
      <c r="P2" s="104"/>
      <c r="Q2" s="104"/>
      <c r="R2" s="104"/>
      <c r="S2" s="104"/>
      <c r="T2" s="104"/>
      <c r="U2" s="104"/>
      <c r="V2" s="104"/>
      <c r="W2" s="104"/>
    </row>
    <row r="3" spans="1:23" x14ac:dyDescent="0.35">
      <c r="A3" s="104"/>
      <c r="B3" s="104"/>
      <c r="C3" s="104"/>
      <c r="D3" s="104"/>
      <c r="E3" s="104"/>
      <c r="F3" s="104"/>
      <c r="G3" s="104"/>
      <c r="H3" s="104"/>
      <c r="I3" s="104"/>
      <c r="J3" s="104"/>
      <c r="K3" s="104"/>
      <c r="L3" s="104"/>
      <c r="M3" s="104"/>
      <c r="N3" s="104"/>
      <c r="O3" s="104"/>
      <c r="P3" s="104"/>
      <c r="Q3" s="104"/>
      <c r="R3" s="104"/>
      <c r="S3" s="104"/>
      <c r="T3" s="104"/>
      <c r="U3" s="104"/>
      <c r="V3" s="104"/>
      <c r="W3" s="104"/>
    </row>
    <row r="4" spans="1:23" x14ac:dyDescent="0.35">
      <c r="A4" s="104"/>
      <c r="B4" s="104"/>
      <c r="C4" s="104"/>
      <c r="D4" s="104"/>
      <c r="E4" s="104"/>
      <c r="F4" s="104"/>
      <c r="G4" s="104"/>
      <c r="H4" s="104"/>
      <c r="I4" s="104"/>
      <c r="J4" s="104"/>
      <c r="K4" s="104"/>
      <c r="L4" s="104"/>
      <c r="M4" s="104"/>
      <c r="N4" s="104"/>
      <c r="O4" s="104"/>
      <c r="P4" s="104"/>
      <c r="Q4" s="104"/>
      <c r="R4" s="104"/>
      <c r="S4" s="104"/>
      <c r="T4" s="104"/>
      <c r="U4" s="104"/>
      <c r="V4" s="104"/>
      <c r="W4" s="104"/>
    </row>
    <row r="5" spans="1:23" x14ac:dyDescent="0.35">
      <c r="A5" s="104"/>
      <c r="B5" s="104"/>
      <c r="C5" s="104"/>
      <c r="D5" s="104"/>
      <c r="E5" s="104"/>
      <c r="F5" s="104"/>
      <c r="G5" s="104"/>
      <c r="H5" s="104"/>
      <c r="I5" s="104"/>
      <c r="J5" s="104"/>
      <c r="K5" s="104"/>
      <c r="L5" s="104"/>
      <c r="M5" s="104"/>
      <c r="N5" s="104"/>
      <c r="O5" s="104"/>
      <c r="P5" s="104"/>
      <c r="Q5" s="104"/>
      <c r="R5" s="104"/>
      <c r="S5" s="104"/>
      <c r="T5" s="104"/>
      <c r="U5" s="104"/>
      <c r="V5" s="104"/>
      <c r="W5" s="104"/>
    </row>
    <row r="6" spans="1:23" x14ac:dyDescent="0.35">
      <c r="A6" s="104"/>
      <c r="B6" s="104"/>
      <c r="C6" s="104"/>
      <c r="D6" s="104"/>
      <c r="E6" s="104"/>
      <c r="F6" s="104"/>
      <c r="G6" s="104"/>
      <c r="H6" s="104"/>
      <c r="I6" s="104"/>
      <c r="J6" s="104"/>
      <c r="K6" s="104"/>
      <c r="L6" s="104"/>
      <c r="M6" s="104"/>
      <c r="N6" s="104"/>
      <c r="O6" s="104"/>
      <c r="P6" s="104"/>
      <c r="Q6" s="104"/>
      <c r="R6" s="104"/>
      <c r="S6" s="104"/>
      <c r="T6" s="104"/>
      <c r="U6" s="104"/>
      <c r="V6" s="104"/>
      <c r="W6" s="104"/>
    </row>
    <row r="7" spans="1:23" x14ac:dyDescent="0.35">
      <c r="A7" s="104"/>
      <c r="B7" s="104"/>
      <c r="C7" s="104"/>
      <c r="D7" s="104"/>
      <c r="E7" s="104"/>
      <c r="F7" s="104"/>
      <c r="G7" s="104"/>
      <c r="H7" s="104"/>
      <c r="I7" s="104"/>
      <c r="J7" s="104"/>
      <c r="K7" s="104"/>
      <c r="L7" s="104"/>
      <c r="M7" s="104"/>
      <c r="N7" s="104"/>
      <c r="O7" s="104"/>
      <c r="P7" s="104"/>
      <c r="Q7" s="104"/>
      <c r="R7" s="104"/>
      <c r="S7" s="104"/>
      <c r="T7" s="104"/>
      <c r="U7" s="104"/>
      <c r="V7" s="104"/>
      <c r="W7" s="104"/>
    </row>
    <row r="8" spans="1:23" x14ac:dyDescent="0.35">
      <c r="A8" s="104"/>
      <c r="B8" s="104"/>
      <c r="C8" s="104"/>
      <c r="D8" s="104"/>
      <c r="E8" s="104"/>
      <c r="F8" s="104"/>
      <c r="G8" s="104"/>
      <c r="H8" s="104"/>
      <c r="I8" s="104"/>
      <c r="J8" s="104"/>
      <c r="K8" s="104"/>
      <c r="L8" s="104"/>
      <c r="M8" s="104"/>
      <c r="N8" s="104"/>
      <c r="O8" s="104"/>
      <c r="P8" s="104"/>
      <c r="Q8" s="104"/>
      <c r="R8" s="104"/>
      <c r="S8" s="104"/>
      <c r="T8" s="104"/>
      <c r="U8" s="104"/>
      <c r="V8" s="104"/>
      <c r="W8" s="104"/>
    </row>
    <row r="9" spans="1:23" x14ac:dyDescent="0.35">
      <c r="A9" s="104"/>
      <c r="B9" s="104"/>
      <c r="C9" s="104"/>
      <c r="D9" s="104"/>
      <c r="E9" s="104"/>
      <c r="F9" s="104"/>
      <c r="G9" s="104"/>
      <c r="H9" s="104"/>
      <c r="I9" s="104"/>
      <c r="J9" s="104"/>
      <c r="K9" s="104"/>
      <c r="L9" s="104"/>
      <c r="M9" s="104"/>
      <c r="N9" s="104"/>
      <c r="O9" s="104"/>
      <c r="P9" s="104"/>
      <c r="Q9" s="104"/>
      <c r="R9" s="104"/>
      <c r="S9" s="104"/>
      <c r="T9" s="104"/>
      <c r="U9" s="104"/>
      <c r="V9" s="104"/>
      <c r="W9" s="104"/>
    </row>
    <row r="10" spans="1:23" x14ac:dyDescent="0.35">
      <c r="A10" s="104"/>
      <c r="B10" s="104"/>
      <c r="C10" s="104"/>
      <c r="D10" s="104"/>
      <c r="E10" s="104"/>
      <c r="F10" s="104"/>
      <c r="G10" s="104"/>
      <c r="H10" s="104"/>
      <c r="I10" s="104"/>
      <c r="J10" s="104"/>
      <c r="K10" s="104"/>
      <c r="L10" s="104"/>
      <c r="M10" s="104"/>
      <c r="N10" s="104"/>
      <c r="O10" s="104"/>
      <c r="P10" s="104"/>
      <c r="Q10" s="104"/>
      <c r="R10" s="104"/>
      <c r="S10" s="104"/>
      <c r="T10" s="104"/>
      <c r="U10" s="104"/>
      <c r="V10" s="104"/>
      <c r="W10" s="104"/>
    </row>
    <row r="11" spans="1:23" x14ac:dyDescent="0.35">
      <c r="A11" s="104"/>
      <c r="B11" s="104"/>
      <c r="C11" s="104"/>
      <c r="D11" s="104"/>
      <c r="E11" s="104"/>
      <c r="F11" s="104"/>
      <c r="G11" s="104"/>
      <c r="H11" s="104"/>
      <c r="I11" s="104"/>
      <c r="J11" s="104"/>
      <c r="K11" s="104"/>
      <c r="L11" s="104"/>
      <c r="M11" s="104"/>
      <c r="N11" s="104"/>
      <c r="O11" s="104"/>
      <c r="P11" s="104"/>
      <c r="Q11" s="104"/>
      <c r="R11" s="104"/>
      <c r="S11" s="104"/>
      <c r="T11" s="104"/>
      <c r="U11" s="104"/>
      <c r="V11" s="104"/>
      <c r="W11" s="104"/>
    </row>
    <row r="12" spans="1:23" x14ac:dyDescent="0.35">
      <c r="A12" s="104"/>
      <c r="B12" s="104"/>
      <c r="C12" s="104"/>
      <c r="D12" s="104"/>
      <c r="E12" s="104"/>
      <c r="F12" s="104"/>
      <c r="G12" s="104"/>
      <c r="H12" s="104"/>
      <c r="I12" s="104"/>
      <c r="J12" s="104"/>
      <c r="K12" s="104"/>
      <c r="L12" s="104"/>
      <c r="M12" s="104"/>
      <c r="N12" s="104"/>
      <c r="O12" s="104"/>
      <c r="P12" s="104"/>
      <c r="Q12" s="104"/>
      <c r="R12" s="104"/>
      <c r="S12" s="104"/>
      <c r="T12" s="104"/>
      <c r="U12" s="104"/>
      <c r="V12" s="104"/>
      <c r="W12" s="104"/>
    </row>
    <row r="13" spans="1:23" x14ac:dyDescent="0.35">
      <c r="A13" s="104"/>
      <c r="B13" s="104"/>
      <c r="C13" s="104"/>
      <c r="D13" s="104"/>
      <c r="E13" s="104"/>
      <c r="F13" s="104"/>
      <c r="G13" s="104"/>
      <c r="H13" s="104"/>
      <c r="I13" s="104"/>
      <c r="J13" s="104"/>
      <c r="K13" s="104"/>
      <c r="L13" s="104"/>
      <c r="M13" s="104"/>
      <c r="N13" s="104"/>
      <c r="O13" s="104"/>
      <c r="P13" s="104"/>
      <c r="Q13" s="104"/>
      <c r="R13" s="104"/>
      <c r="S13" s="104"/>
      <c r="T13" s="104"/>
      <c r="U13" s="104"/>
      <c r="V13" s="104"/>
      <c r="W13" s="104"/>
    </row>
    <row r="14" spans="1:23" x14ac:dyDescent="0.35">
      <c r="A14" s="104"/>
      <c r="B14" s="104"/>
      <c r="C14" s="104"/>
      <c r="D14" s="104"/>
      <c r="E14" s="104"/>
      <c r="F14" s="104"/>
      <c r="G14" s="104"/>
      <c r="H14" s="104"/>
      <c r="I14" s="104"/>
      <c r="J14" s="104"/>
      <c r="K14" s="104"/>
      <c r="L14" s="104"/>
      <c r="M14" s="104"/>
      <c r="N14" s="104"/>
      <c r="O14" s="104"/>
      <c r="P14" s="104"/>
      <c r="Q14" s="104"/>
      <c r="R14" s="104"/>
      <c r="S14" s="104"/>
      <c r="T14" s="104"/>
      <c r="U14" s="104"/>
      <c r="V14" s="104"/>
      <c r="W14" s="104"/>
    </row>
    <row r="15" spans="1:23" x14ac:dyDescent="0.35">
      <c r="A15" s="104"/>
      <c r="B15" s="104"/>
      <c r="C15" s="104"/>
      <c r="D15" s="104"/>
      <c r="E15" s="104"/>
      <c r="F15" s="104"/>
      <c r="G15" s="104"/>
      <c r="H15" s="104"/>
      <c r="I15" s="104"/>
      <c r="J15" s="104"/>
      <c r="K15" s="104"/>
      <c r="L15" s="104"/>
      <c r="M15" s="104"/>
      <c r="N15" s="104"/>
      <c r="O15" s="104"/>
      <c r="P15" s="104"/>
      <c r="Q15" s="104"/>
      <c r="R15" s="104"/>
      <c r="S15" s="104"/>
      <c r="T15" s="104"/>
      <c r="U15" s="104"/>
      <c r="V15" s="104"/>
      <c r="W15" s="104"/>
    </row>
    <row r="16" spans="1:23" x14ac:dyDescent="0.35">
      <c r="A16" s="104"/>
      <c r="B16" s="104"/>
      <c r="C16" s="104"/>
      <c r="D16" s="104"/>
      <c r="E16" s="104"/>
      <c r="F16" s="104"/>
      <c r="G16" s="104"/>
      <c r="H16" s="104"/>
      <c r="I16" s="104"/>
      <c r="J16" s="104"/>
      <c r="K16" s="104"/>
      <c r="L16" s="104"/>
      <c r="M16" s="104"/>
      <c r="N16" s="104"/>
      <c r="O16" s="104"/>
      <c r="P16" s="104"/>
      <c r="Q16" s="104"/>
      <c r="R16" s="104"/>
      <c r="S16" s="104"/>
      <c r="T16" s="104"/>
      <c r="U16" s="104"/>
      <c r="V16" s="104"/>
      <c r="W16" s="104"/>
    </row>
    <row r="17" spans="1:23" x14ac:dyDescent="0.35">
      <c r="A17" s="104"/>
      <c r="B17" s="104"/>
      <c r="C17" s="104"/>
      <c r="D17" s="104"/>
      <c r="E17" s="104"/>
      <c r="F17" s="104"/>
      <c r="G17" s="104"/>
      <c r="H17" s="104"/>
      <c r="I17" s="104"/>
      <c r="J17" s="104"/>
      <c r="K17" s="104"/>
      <c r="L17" s="104"/>
      <c r="M17" s="104"/>
      <c r="N17" s="104"/>
      <c r="O17" s="104"/>
      <c r="P17" s="104"/>
      <c r="Q17" s="104"/>
      <c r="R17" s="104"/>
      <c r="S17" s="104"/>
      <c r="T17" s="104"/>
      <c r="U17" s="104"/>
      <c r="V17" s="104"/>
      <c r="W17" s="104"/>
    </row>
    <row r="18" spans="1:23" x14ac:dyDescent="0.35">
      <c r="A18" s="104"/>
      <c r="B18" s="104"/>
      <c r="C18" s="104"/>
      <c r="D18" s="104"/>
      <c r="E18" s="104"/>
      <c r="F18" s="104"/>
      <c r="G18" s="104"/>
      <c r="H18" s="104"/>
      <c r="I18" s="104"/>
      <c r="J18" s="104"/>
      <c r="K18" s="104"/>
      <c r="L18" s="104"/>
      <c r="M18" s="104"/>
      <c r="N18" s="104"/>
      <c r="O18" s="104"/>
      <c r="P18" s="104"/>
      <c r="Q18" s="104"/>
      <c r="R18" s="104"/>
      <c r="S18" s="104"/>
      <c r="T18" s="104"/>
      <c r="U18" s="104"/>
      <c r="V18" s="104"/>
      <c r="W18" s="104"/>
    </row>
    <row r="19" spans="1:23" x14ac:dyDescent="0.35">
      <c r="A19" s="104"/>
      <c r="B19" s="104"/>
      <c r="C19" s="104"/>
      <c r="D19" s="104"/>
      <c r="E19" s="104"/>
      <c r="F19" s="104"/>
      <c r="G19" s="104"/>
      <c r="H19" s="104"/>
      <c r="I19" s="104"/>
      <c r="J19" s="104"/>
      <c r="K19" s="104"/>
      <c r="L19" s="104"/>
      <c r="M19" s="104"/>
      <c r="N19" s="104"/>
      <c r="O19" s="104"/>
      <c r="P19" s="104"/>
      <c r="Q19" s="104"/>
      <c r="R19" s="104"/>
      <c r="S19" s="104"/>
      <c r="T19" s="104"/>
      <c r="U19" s="104"/>
      <c r="V19" s="104"/>
      <c r="W19" s="104"/>
    </row>
    <row r="20" spans="1:23" x14ac:dyDescent="0.35">
      <c r="A20" s="104"/>
      <c r="B20" s="104"/>
      <c r="C20" s="104"/>
      <c r="D20" s="104"/>
      <c r="E20" s="104"/>
      <c r="F20" s="104"/>
      <c r="G20" s="104"/>
      <c r="H20" s="104"/>
      <c r="I20" s="104"/>
      <c r="J20" s="104"/>
      <c r="K20" s="104"/>
      <c r="L20" s="104"/>
      <c r="M20" s="104"/>
      <c r="N20" s="104"/>
      <c r="O20" s="104"/>
      <c r="P20" s="104"/>
      <c r="Q20" s="104"/>
      <c r="R20" s="104"/>
      <c r="S20" s="104"/>
      <c r="T20" s="104"/>
      <c r="U20" s="104"/>
      <c r="V20" s="104"/>
      <c r="W20" s="104"/>
    </row>
    <row r="21" spans="1:23" x14ac:dyDescent="0.35">
      <c r="A21" s="104"/>
      <c r="B21" s="104"/>
      <c r="C21" s="104"/>
      <c r="D21" s="104"/>
      <c r="E21" s="104"/>
      <c r="F21" s="104"/>
      <c r="G21" s="104"/>
      <c r="H21" s="104"/>
      <c r="I21" s="104"/>
      <c r="J21" s="104"/>
      <c r="K21" s="104"/>
      <c r="L21" s="104"/>
      <c r="M21" s="104"/>
      <c r="N21" s="104"/>
      <c r="O21" s="104"/>
      <c r="P21" s="104"/>
      <c r="Q21" s="104"/>
      <c r="R21" s="104"/>
      <c r="S21" s="104"/>
      <c r="T21" s="104"/>
      <c r="U21" s="104"/>
      <c r="V21" s="104"/>
      <c r="W21" s="104"/>
    </row>
    <row r="22" spans="1:23" x14ac:dyDescent="0.35">
      <c r="A22" s="104"/>
      <c r="B22" s="104"/>
      <c r="C22" s="104"/>
      <c r="D22" s="104"/>
      <c r="E22" s="104"/>
      <c r="F22" s="104"/>
      <c r="G22" s="104"/>
      <c r="H22" s="104"/>
      <c r="I22" s="104"/>
      <c r="J22" s="104"/>
      <c r="K22" s="104"/>
      <c r="L22" s="104"/>
      <c r="M22" s="104"/>
      <c r="N22" s="104"/>
      <c r="O22" s="104"/>
      <c r="P22" s="104"/>
      <c r="Q22" s="104"/>
      <c r="R22" s="104"/>
      <c r="S22" s="104"/>
      <c r="T22" s="104"/>
      <c r="U22" s="104"/>
      <c r="V22" s="104"/>
      <c r="W22" s="104"/>
    </row>
    <row r="23" spans="1:23" x14ac:dyDescent="0.35">
      <c r="A23" s="104"/>
      <c r="B23" s="104"/>
      <c r="C23" s="104"/>
      <c r="D23" s="104"/>
      <c r="E23" s="104"/>
      <c r="F23" s="104"/>
      <c r="G23" s="104"/>
      <c r="H23" s="104"/>
      <c r="I23" s="104"/>
      <c r="J23" s="104"/>
      <c r="K23" s="104"/>
      <c r="L23" s="104"/>
      <c r="M23" s="104"/>
      <c r="N23" s="104"/>
      <c r="O23" s="104"/>
      <c r="P23" s="104"/>
      <c r="Q23" s="104"/>
      <c r="R23" s="104"/>
      <c r="S23" s="104"/>
      <c r="T23" s="104"/>
      <c r="U23" s="104"/>
      <c r="V23" s="104"/>
      <c r="W23" s="104"/>
    </row>
    <row r="24" spans="1:23" x14ac:dyDescent="0.35">
      <c r="A24" s="104"/>
      <c r="B24" s="104"/>
      <c r="C24" s="104"/>
      <c r="D24" s="104"/>
      <c r="E24" s="104"/>
      <c r="F24" s="104"/>
      <c r="G24" s="104"/>
      <c r="H24" s="104"/>
      <c r="I24" s="104"/>
      <c r="J24" s="104"/>
      <c r="K24" s="104"/>
      <c r="L24" s="104"/>
      <c r="M24" s="104"/>
      <c r="N24" s="104"/>
      <c r="O24" s="104"/>
      <c r="P24" s="104"/>
      <c r="Q24" s="104"/>
      <c r="R24" s="104"/>
      <c r="S24" s="104"/>
      <c r="T24" s="104"/>
      <c r="U24" s="104"/>
      <c r="V24" s="104"/>
      <c r="W24" s="104"/>
    </row>
    <row r="25" spans="1:23" x14ac:dyDescent="0.35">
      <c r="A25" s="104"/>
      <c r="B25" s="104"/>
      <c r="C25" s="104"/>
      <c r="D25" s="104"/>
      <c r="E25" s="104"/>
      <c r="F25" s="104"/>
      <c r="G25" s="104"/>
      <c r="H25" s="104"/>
      <c r="I25" s="104"/>
      <c r="J25" s="104"/>
      <c r="K25" s="104"/>
      <c r="L25" s="104"/>
      <c r="M25" s="104"/>
      <c r="N25" s="104"/>
      <c r="O25" s="104"/>
      <c r="P25" s="104"/>
      <c r="Q25" s="104"/>
      <c r="R25" s="104"/>
      <c r="S25" s="104"/>
      <c r="T25" s="104"/>
      <c r="U25" s="104"/>
      <c r="V25" s="104"/>
      <c r="W25" s="104"/>
    </row>
    <row r="26" spans="1:23" x14ac:dyDescent="0.35">
      <c r="A26" s="104"/>
      <c r="B26" s="104"/>
      <c r="C26" s="104"/>
      <c r="D26" s="104"/>
      <c r="E26" s="104"/>
      <c r="F26" s="104"/>
      <c r="G26" s="104"/>
      <c r="H26" s="104"/>
      <c r="I26" s="104"/>
      <c r="J26" s="104"/>
      <c r="K26" s="104"/>
      <c r="L26" s="104"/>
      <c r="M26" s="104"/>
      <c r="N26" s="104"/>
      <c r="O26" s="104"/>
      <c r="P26" s="104"/>
      <c r="Q26" s="104"/>
      <c r="R26" s="104"/>
      <c r="S26" s="104"/>
      <c r="T26" s="104"/>
      <c r="U26" s="104"/>
      <c r="V26" s="104"/>
      <c r="W26" s="104"/>
    </row>
    <row r="27" spans="1:23" x14ac:dyDescent="0.35">
      <c r="A27" s="104"/>
      <c r="B27" s="104"/>
      <c r="C27" s="104"/>
      <c r="D27" s="104"/>
      <c r="E27" s="104"/>
      <c r="F27" s="104"/>
      <c r="G27" s="104"/>
      <c r="H27" s="104"/>
      <c r="I27" s="104"/>
      <c r="J27" s="104"/>
      <c r="K27" s="104"/>
      <c r="L27" s="104"/>
      <c r="M27" s="104"/>
      <c r="N27" s="104"/>
      <c r="O27" s="104"/>
      <c r="P27" s="104"/>
      <c r="Q27" s="104"/>
      <c r="R27" s="104"/>
      <c r="S27" s="104"/>
      <c r="T27" s="104"/>
      <c r="U27" s="104"/>
      <c r="V27" s="104"/>
      <c r="W27" s="104"/>
    </row>
    <row r="28" spans="1:23" x14ac:dyDescent="0.35">
      <c r="A28" s="104"/>
      <c r="B28" s="104"/>
      <c r="C28" s="104"/>
      <c r="D28" s="104"/>
      <c r="E28" s="104"/>
      <c r="F28" s="104"/>
      <c r="G28" s="104"/>
      <c r="H28" s="104"/>
      <c r="I28" s="104"/>
      <c r="J28" s="104"/>
      <c r="K28" s="104"/>
      <c r="L28" s="104"/>
      <c r="M28" s="104"/>
      <c r="N28" s="104"/>
      <c r="O28" s="104"/>
      <c r="P28" s="104"/>
      <c r="Q28" s="104"/>
      <c r="R28" s="104"/>
      <c r="S28" s="104"/>
      <c r="T28" s="104"/>
      <c r="U28" s="104"/>
      <c r="V28" s="104"/>
      <c r="W28" s="104"/>
    </row>
    <row r="29" spans="1:23" x14ac:dyDescent="0.35">
      <c r="A29" s="104"/>
      <c r="B29" s="104"/>
      <c r="C29" s="104"/>
      <c r="D29" s="104"/>
      <c r="E29" s="104"/>
      <c r="F29" s="104"/>
      <c r="G29" s="104"/>
      <c r="H29" s="104"/>
      <c r="I29" s="104"/>
      <c r="J29" s="104"/>
      <c r="K29" s="104"/>
      <c r="L29" s="104"/>
      <c r="M29" s="104"/>
      <c r="N29" s="104"/>
      <c r="O29" s="104"/>
      <c r="P29" s="104"/>
      <c r="Q29" s="104"/>
      <c r="R29" s="104"/>
      <c r="S29" s="104"/>
      <c r="T29" s="104"/>
      <c r="U29" s="104"/>
      <c r="V29" s="104"/>
      <c r="W29" s="104"/>
    </row>
    <row r="30" spans="1:23" x14ac:dyDescent="0.35">
      <c r="A30" s="104"/>
      <c r="B30" s="104"/>
      <c r="C30" s="104"/>
      <c r="D30" s="104"/>
      <c r="E30" s="104"/>
      <c r="F30" s="104"/>
      <c r="G30" s="104"/>
      <c r="H30" s="104"/>
      <c r="I30" s="104"/>
      <c r="J30" s="104"/>
      <c r="K30" s="104"/>
      <c r="L30" s="104"/>
      <c r="M30" s="104"/>
      <c r="N30" s="104"/>
      <c r="O30" s="104"/>
      <c r="P30" s="104"/>
      <c r="Q30" s="104"/>
      <c r="R30" s="104"/>
      <c r="S30" s="104"/>
      <c r="T30" s="104"/>
      <c r="U30" s="104"/>
      <c r="V30" s="104"/>
      <c r="W30" s="104"/>
    </row>
    <row r="31" spans="1:23" x14ac:dyDescent="0.35">
      <c r="A31" s="104"/>
      <c r="B31" s="104"/>
      <c r="C31" s="104"/>
      <c r="D31" s="104"/>
      <c r="E31" s="104"/>
      <c r="F31" s="104"/>
      <c r="G31" s="104"/>
      <c r="H31" s="104"/>
      <c r="I31" s="104"/>
      <c r="J31" s="104"/>
      <c r="K31" s="104"/>
      <c r="L31" s="104"/>
      <c r="M31" s="104"/>
      <c r="N31" s="104"/>
      <c r="O31" s="104"/>
      <c r="P31" s="104"/>
      <c r="Q31" s="104"/>
      <c r="R31" s="104"/>
      <c r="S31" s="104"/>
      <c r="T31" s="104"/>
      <c r="U31" s="104"/>
      <c r="V31" s="104"/>
      <c r="W31" s="104"/>
    </row>
    <row r="32" spans="1:23" x14ac:dyDescent="0.35">
      <c r="A32" s="104"/>
      <c r="B32" s="104"/>
      <c r="C32" s="104"/>
      <c r="D32" s="104"/>
      <c r="E32" s="104"/>
      <c r="F32" s="104"/>
      <c r="G32" s="104"/>
      <c r="H32" s="104"/>
      <c r="I32" s="104"/>
      <c r="J32" s="104"/>
      <c r="K32" s="104"/>
      <c r="L32" s="104"/>
      <c r="M32" s="104"/>
      <c r="N32" s="104"/>
      <c r="O32" s="104"/>
      <c r="P32" s="104"/>
      <c r="Q32" s="104"/>
      <c r="R32" s="104"/>
      <c r="S32" s="104"/>
      <c r="T32" s="104"/>
      <c r="U32" s="104"/>
      <c r="V32" s="104"/>
      <c r="W32" s="104"/>
    </row>
    <row r="33" spans="1:23" x14ac:dyDescent="0.35">
      <c r="A33" s="104"/>
      <c r="B33" s="104"/>
      <c r="C33" s="104"/>
      <c r="D33" s="104"/>
      <c r="E33" s="104"/>
      <c r="F33" s="104"/>
      <c r="G33" s="104"/>
      <c r="H33" s="104"/>
      <c r="I33" s="104"/>
      <c r="J33" s="104"/>
      <c r="K33" s="104"/>
      <c r="L33" s="104"/>
      <c r="M33" s="104"/>
      <c r="N33" s="104"/>
      <c r="O33" s="104"/>
      <c r="P33" s="104"/>
      <c r="Q33" s="104"/>
      <c r="R33" s="104"/>
      <c r="S33" s="104"/>
      <c r="T33" s="104"/>
      <c r="U33" s="104"/>
      <c r="V33" s="104"/>
      <c r="W33" s="104"/>
    </row>
    <row r="34" spans="1:23" x14ac:dyDescent="0.35">
      <c r="A34" s="104"/>
      <c r="B34" s="104"/>
      <c r="C34" s="104"/>
      <c r="D34" s="104"/>
      <c r="E34" s="104"/>
      <c r="F34" s="104"/>
      <c r="G34" s="104"/>
      <c r="H34" s="104"/>
      <c r="I34" s="104"/>
      <c r="J34" s="104"/>
      <c r="K34" s="104"/>
      <c r="L34" s="104"/>
      <c r="M34" s="104"/>
      <c r="N34" s="104"/>
      <c r="O34" s="104"/>
      <c r="P34" s="104"/>
      <c r="Q34" s="104"/>
      <c r="R34" s="104"/>
      <c r="S34" s="104"/>
      <c r="T34" s="104"/>
      <c r="U34" s="104"/>
      <c r="V34" s="104"/>
      <c r="W34" s="10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4960F-DE4D-489F-877F-CED276714D98}">
  <sheetPr codeName="Sheet11">
    <tabColor theme="7" tint="-9.9978637043366805E-2"/>
  </sheetPr>
  <dimension ref="A1:O33"/>
  <sheetViews>
    <sheetView showGridLines="0" zoomScale="97" zoomScaleNormal="100" workbookViewId="0">
      <selection activeCell="F12" sqref="F12"/>
    </sheetView>
  </sheetViews>
  <sheetFormatPr defaultRowHeight="14.5" x14ac:dyDescent="0.35"/>
  <cols>
    <col min="1" max="1" width="2.36328125" customWidth="1"/>
    <col min="2" max="2" width="1.81640625" customWidth="1"/>
    <col min="3" max="3" width="9.26953125" customWidth="1"/>
    <col min="4" max="4" width="14.08984375" style="202" bestFit="1" customWidth="1"/>
    <col min="5" max="6" width="20.7265625" customWidth="1"/>
    <col min="7" max="7" width="15.08984375" customWidth="1"/>
    <col min="8" max="8" width="17.26953125" customWidth="1"/>
    <col min="9" max="9" width="3.1796875" customWidth="1"/>
    <col min="10" max="10" width="4.6328125" customWidth="1"/>
    <col min="11" max="12" width="28" customWidth="1"/>
    <col min="13" max="13" width="25.7265625" customWidth="1"/>
    <col min="14" max="14" width="6.26953125" customWidth="1"/>
  </cols>
  <sheetData>
    <row r="1" spans="1:15" ht="28" customHeight="1" x14ac:dyDescent="0.5">
      <c r="A1" s="3"/>
      <c r="B1" s="4" t="s">
        <v>2</v>
      </c>
      <c r="C1" s="4"/>
      <c r="D1" s="196"/>
      <c r="E1" s="4"/>
      <c r="F1" s="4"/>
      <c r="G1" s="4"/>
      <c r="H1" s="4"/>
      <c r="I1" s="3"/>
      <c r="J1" s="239" t="s">
        <v>15</v>
      </c>
      <c r="K1" s="239"/>
      <c r="L1" s="239"/>
      <c r="M1" s="239"/>
      <c r="N1" s="17"/>
      <c r="O1" s="3"/>
    </row>
    <row r="2" spans="1:15" ht="30.5" customHeight="1" thickBot="1" x14ac:dyDescent="0.4">
      <c r="A2" s="3"/>
      <c r="B2" s="5" t="s">
        <v>7</v>
      </c>
      <c r="C2" s="5"/>
      <c r="D2" s="197"/>
      <c r="E2" s="5"/>
      <c r="F2" s="5"/>
      <c r="G2" s="5"/>
      <c r="H2" s="5"/>
      <c r="I2" s="5"/>
      <c r="J2" s="240" t="s">
        <v>93</v>
      </c>
      <c r="K2" s="240"/>
      <c r="L2" s="240"/>
      <c r="M2" s="240"/>
      <c r="N2" s="18"/>
      <c r="O2" s="3"/>
    </row>
    <row r="3" spans="1:15" ht="15" thickBot="1" x14ac:dyDescent="0.4">
      <c r="A3" s="3"/>
      <c r="B3" s="241" t="s">
        <v>3</v>
      </c>
      <c r="C3" s="242"/>
      <c r="D3" s="243"/>
      <c r="E3" s="194">
        <v>45071</v>
      </c>
      <c r="F3" s="48" t="s">
        <v>96</v>
      </c>
      <c r="G3" s="3"/>
      <c r="H3" s="3"/>
      <c r="I3" s="3"/>
      <c r="J3" s="237" t="s">
        <v>14</v>
      </c>
      <c r="K3" s="238"/>
      <c r="L3" s="193">
        <f>SUM(D6:D30)</f>
        <v>9</v>
      </c>
      <c r="M3" s="3"/>
      <c r="N3" s="3"/>
      <c r="O3" s="3"/>
    </row>
    <row r="4" spans="1:15" ht="15" thickBot="1" x14ac:dyDescent="0.4">
      <c r="A4" s="3"/>
      <c r="B4" s="3"/>
      <c r="C4" s="3"/>
      <c r="D4" s="147"/>
      <c r="E4" s="3"/>
      <c r="F4" s="3"/>
      <c r="G4" s="3"/>
      <c r="H4" s="3"/>
      <c r="I4" s="3"/>
      <c r="J4" s="3"/>
      <c r="K4" s="3"/>
      <c r="L4" s="3"/>
      <c r="M4" s="3"/>
      <c r="N4" s="3"/>
      <c r="O4" s="3"/>
    </row>
    <row r="5" spans="1:15" ht="15" thickBot="1" x14ac:dyDescent="0.4">
      <c r="A5" s="3"/>
      <c r="B5" s="244" t="s">
        <v>4</v>
      </c>
      <c r="C5" s="245"/>
      <c r="D5" s="198" t="s">
        <v>5</v>
      </c>
      <c r="E5" s="15" t="s">
        <v>13</v>
      </c>
      <c r="F5" s="15" t="s">
        <v>6</v>
      </c>
      <c r="G5" s="15" t="s">
        <v>9</v>
      </c>
      <c r="H5" s="16" t="s">
        <v>22</v>
      </c>
      <c r="I5" s="3"/>
      <c r="J5" s="11" t="s">
        <v>16</v>
      </c>
      <c r="K5" s="12" t="s">
        <v>10</v>
      </c>
      <c r="L5" s="12" t="s">
        <v>11</v>
      </c>
      <c r="M5" s="12" t="s">
        <v>12</v>
      </c>
      <c r="N5" s="13" t="s">
        <v>46</v>
      </c>
      <c r="O5" s="3"/>
    </row>
    <row r="6" spans="1:15" x14ac:dyDescent="0.35">
      <c r="A6" s="3"/>
      <c r="B6" s="8" t="s">
        <v>8</v>
      </c>
      <c r="C6" s="178">
        <v>1</v>
      </c>
      <c r="D6" s="199">
        <v>2</v>
      </c>
      <c r="E6" s="179" t="s">
        <v>162</v>
      </c>
      <c r="F6" s="179" t="s">
        <v>163</v>
      </c>
      <c r="G6" s="179"/>
      <c r="H6" s="180"/>
      <c r="I6" s="3"/>
      <c r="J6" s="22">
        <v>1</v>
      </c>
      <c r="K6" s="23">
        <f>IFERROR(E3," ")</f>
        <v>45071</v>
      </c>
      <c r="L6" s="23">
        <f>IFERROR(IF(J6=C6,K6+D6,K6+VLOOKUP(J6,$C$6:$D$30,2,FALSE))," ")</f>
        <v>45073</v>
      </c>
      <c r="M6" s="9" t="str">
        <f>IFERROR(IF(N6=0," ",IF(J6=C6,CONCATENATE(E6,", ",F6),CONCATENATE(VLOOKUP(J6,$C$6:$F$30,3,FALSE),", ",VLOOKUP(J6,$C$6:$F$30,4,FALSE))))," ")</f>
        <v>Barcelona, Spain</v>
      </c>
      <c r="N6" s="10">
        <f>IFERROR(VLOOKUP(J6,$C$6:$F$30,2,FALSE)," ")</f>
        <v>2</v>
      </c>
      <c r="O6" s="3"/>
    </row>
    <row r="7" spans="1:15" x14ac:dyDescent="0.35">
      <c r="A7" s="3"/>
      <c r="B7" s="6" t="s">
        <v>8</v>
      </c>
      <c r="C7" s="181">
        <v>2</v>
      </c>
      <c r="D7" s="200">
        <v>4</v>
      </c>
      <c r="E7" s="182" t="s">
        <v>164</v>
      </c>
      <c r="F7" s="182" t="s">
        <v>163</v>
      </c>
      <c r="G7" s="179"/>
      <c r="H7" s="183"/>
      <c r="I7" s="3"/>
      <c r="J7" s="19">
        <v>2</v>
      </c>
      <c r="K7" s="117">
        <f>IFERROR(IF(N6=0," ",L6)," ")</f>
        <v>45073</v>
      </c>
      <c r="L7" s="117">
        <f t="shared" ref="L7:L30" si="0">IFERROR(IF(J7=C7,K7+D7,K7+VLOOKUP(J7,$C$6:$D$30,2,FALSE))," ")</f>
        <v>45077</v>
      </c>
      <c r="M7" s="9" t="str">
        <f t="shared" ref="M7:M30" si="1">IFERROR(IF(N7=0," ",IF(J7=C7,CONCATENATE(E7,", ",F7),CONCATENATE(VLOOKUP(J7,$C$6:$F$30,3,FALSE),", ",VLOOKUP(J7,$C$6:$F$30,4,FALSE))))," ")</f>
        <v>Mallorca, Spain</v>
      </c>
      <c r="N7" s="10">
        <f t="shared" ref="N7:N30" si="2">IFERROR(VLOOKUP(J7,$C$6:$F$30,2,FALSE)," ")</f>
        <v>4</v>
      </c>
      <c r="O7" s="3"/>
    </row>
    <row r="8" spans="1:15" x14ac:dyDescent="0.35">
      <c r="A8" s="3"/>
      <c r="B8" s="6" t="s">
        <v>8</v>
      </c>
      <c r="C8" s="181">
        <v>3</v>
      </c>
      <c r="D8" s="200">
        <v>2</v>
      </c>
      <c r="E8" s="182" t="s">
        <v>165</v>
      </c>
      <c r="F8" s="182" t="s">
        <v>163</v>
      </c>
      <c r="G8" s="179"/>
      <c r="H8" s="183"/>
      <c r="I8" s="3"/>
      <c r="J8" s="19">
        <v>3</v>
      </c>
      <c r="K8" s="117">
        <f t="shared" ref="K8:K30" si="3">IFERROR(IF(N7=0," ",L7)," ")</f>
        <v>45077</v>
      </c>
      <c r="L8" s="117">
        <f t="shared" si="0"/>
        <v>45079</v>
      </c>
      <c r="M8" s="9" t="str">
        <f t="shared" si="1"/>
        <v>Ibiza, Spain</v>
      </c>
      <c r="N8" s="10">
        <f t="shared" si="2"/>
        <v>2</v>
      </c>
      <c r="O8" s="3"/>
    </row>
    <row r="9" spans="1:15" x14ac:dyDescent="0.35">
      <c r="A9" s="3"/>
      <c r="B9" s="6" t="s">
        <v>8</v>
      </c>
      <c r="C9" s="178">
        <v>4</v>
      </c>
      <c r="D9" s="200">
        <v>1</v>
      </c>
      <c r="E9" s="182" t="s">
        <v>162</v>
      </c>
      <c r="F9" s="182" t="s">
        <v>163</v>
      </c>
      <c r="G9" s="179"/>
      <c r="H9" s="183"/>
      <c r="I9" s="3"/>
      <c r="J9" s="19">
        <v>4</v>
      </c>
      <c r="K9" s="117">
        <f t="shared" si="3"/>
        <v>45079</v>
      </c>
      <c r="L9" s="117">
        <f t="shared" si="0"/>
        <v>45080</v>
      </c>
      <c r="M9" s="9" t="str">
        <f>IFERROR(IF(N9=0," ",IF(J9=C9,CONCATENATE(E9,", ",F9),CONCATENATE(VLOOKUP(J9,$C$6:$F$30,3,FALSE),", ",VLOOKUP(J9,$C$6:$F$30,4,FALSE))))," ")</f>
        <v>Barcelona, Spain</v>
      </c>
      <c r="N9" s="10">
        <f t="shared" si="2"/>
        <v>1</v>
      </c>
      <c r="O9" s="3"/>
    </row>
    <row r="10" spans="1:15" x14ac:dyDescent="0.35">
      <c r="A10" s="3"/>
      <c r="B10" s="6" t="s">
        <v>8</v>
      </c>
      <c r="C10" s="181">
        <v>5</v>
      </c>
      <c r="D10" s="200"/>
      <c r="E10" s="182"/>
      <c r="F10" s="182"/>
      <c r="G10" s="179"/>
      <c r="H10" s="183"/>
      <c r="I10" s="3"/>
      <c r="J10" s="19">
        <v>5</v>
      </c>
      <c r="K10" s="117">
        <f t="shared" si="3"/>
        <v>45080</v>
      </c>
      <c r="L10" s="117">
        <f t="shared" si="0"/>
        <v>45080</v>
      </c>
      <c r="M10" s="9" t="str">
        <f t="shared" si="1"/>
        <v xml:space="preserve"> </v>
      </c>
      <c r="N10" s="10">
        <f t="shared" si="2"/>
        <v>0</v>
      </c>
      <c r="O10" s="3"/>
    </row>
    <row r="11" spans="1:15" x14ac:dyDescent="0.35">
      <c r="A11" s="3"/>
      <c r="B11" s="6" t="s">
        <v>8</v>
      </c>
      <c r="C11" s="181">
        <v>6</v>
      </c>
      <c r="D11" s="200"/>
      <c r="E11" s="182"/>
      <c r="F11" s="182"/>
      <c r="G11" s="182"/>
      <c r="H11" s="183"/>
      <c r="I11" s="3"/>
      <c r="J11" s="19">
        <v>6</v>
      </c>
      <c r="K11" s="117" t="str">
        <f t="shared" si="3"/>
        <v xml:space="preserve"> </v>
      </c>
      <c r="L11" s="117" t="str">
        <f t="shared" si="0"/>
        <v xml:space="preserve"> </v>
      </c>
      <c r="M11" s="9" t="str">
        <f t="shared" si="1"/>
        <v xml:space="preserve"> </v>
      </c>
      <c r="N11" s="10">
        <f t="shared" si="2"/>
        <v>0</v>
      </c>
      <c r="O11" s="3"/>
    </row>
    <row r="12" spans="1:15" x14ac:dyDescent="0.35">
      <c r="A12" s="3"/>
      <c r="B12" s="6" t="s">
        <v>8</v>
      </c>
      <c r="C12" s="181">
        <v>7</v>
      </c>
      <c r="D12" s="200"/>
      <c r="E12" s="184"/>
      <c r="F12" s="184"/>
      <c r="G12" s="182"/>
      <c r="H12" s="183"/>
      <c r="I12" s="3"/>
      <c r="J12" s="19">
        <v>7</v>
      </c>
      <c r="K12" s="117" t="str">
        <f t="shared" si="3"/>
        <v xml:space="preserve"> </v>
      </c>
      <c r="L12" s="117" t="str">
        <f t="shared" si="0"/>
        <v xml:space="preserve"> </v>
      </c>
      <c r="M12" s="9" t="str">
        <f t="shared" si="1"/>
        <v xml:space="preserve"> </v>
      </c>
      <c r="N12" s="10">
        <f t="shared" si="2"/>
        <v>0</v>
      </c>
      <c r="O12" s="3"/>
    </row>
    <row r="13" spans="1:15" x14ac:dyDescent="0.35">
      <c r="A13" s="3"/>
      <c r="B13" s="6" t="s">
        <v>8</v>
      </c>
      <c r="C13" s="181">
        <v>8</v>
      </c>
      <c r="D13" s="200"/>
      <c r="E13" s="182"/>
      <c r="F13" s="182"/>
      <c r="G13" s="182"/>
      <c r="H13" s="183"/>
      <c r="I13" s="3"/>
      <c r="J13" s="19">
        <v>8</v>
      </c>
      <c r="K13" s="117" t="str">
        <f t="shared" si="3"/>
        <v xml:space="preserve"> </v>
      </c>
      <c r="L13" s="117" t="str">
        <f t="shared" si="0"/>
        <v xml:space="preserve"> </v>
      </c>
      <c r="M13" s="9" t="str">
        <f t="shared" si="1"/>
        <v xml:space="preserve"> </v>
      </c>
      <c r="N13" s="10">
        <f t="shared" si="2"/>
        <v>0</v>
      </c>
      <c r="O13" s="3"/>
    </row>
    <row r="14" spans="1:15" x14ac:dyDescent="0.35">
      <c r="A14" s="3"/>
      <c r="B14" s="6" t="s">
        <v>8</v>
      </c>
      <c r="C14" s="181">
        <v>9</v>
      </c>
      <c r="D14" s="200"/>
      <c r="E14" s="182"/>
      <c r="F14" s="182"/>
      <c r="G14" s="182"/>
      <c r="H14" s="183"/>
      <c r="I14" s="3"/>
      <c r="J14" s="19">
        <v>9</v>
      </c>
      <c r="K14" s="117" t="str">
        <f t="shared" si="3"/>
        <v xml:space="preserve"> </v>
      </c>
      <c r="L14" s="117" t="str">
        <f t="shared" si="0"/>
        <v xml:space="preserve"> </v>
      </c>
      <c r="M14" s="9" t="str">
        <f t="shared" si="1"/>
        <v xml:space="preserve"> </v>
      </c>
      <c r="N14" s="10">
        <f t="shared" si="2"/>
        <v>0</v>
      </c>
      <c r="O14" s="3"/>
    </row>
    <row r="15" spans="1:15" x14ac:dyDescent="0.35">
      <c r="A15" s="3"/>
      <c r="B15" s="6" t="s">
        <v>8</v>
      </c>
      <c r="C15" s="181">
        <v>10</v>
      </c>
      <c r="D15" s="200"/>
      <c r="E15" s="182"/>
      <c r="F15" s="182"/>
      <c r="G15" s="182"/>
      <c r="H15" s="183"/>
      <c r="I15" s="3"/>
      <c r="J15" s="19">
        <v>10</v>
      </c>
      <c r="K15" s="117" t="str">
        <f t="shared" si="3"/>
        <v xml:space="preserve"> </v>
      </c>
      <c r="L15" s="117" t="str">
        <f t="shared" si="0"/>
        <v xml:space="preserve"> </v>
      </c>
      <c r="M15" s="9" t="str">
        <f t="shared" si="1"/>
        <v xml:space="preserve"> </v>
      </c>
      <c r="N15" s="10">
        <f t="shared" si="2"/>
        <v>0</v>
      </c>
      <c r="O15" s="3"/>
    </row>
    <row r="16" spans="1:15" x14ac:dyDescent="0.35">
      <c r="A16" s="3"/>
      <c r="B16" s="6" t="s">
        <v>8</v>
      </c>
      <c r="C16" s="181">
        <v>11</v>
      </c>
      <c r="D16" s="200"/>
      <c r="E16" s="182"/>
      <c r="F16" s="182"/>
      <c r="G16" s="182"/>
      <c r="H16" s="183"/>
      <c r="I16" s="3"/>
      <c r="J16" s="19">
        <v>11</v>
      </c>
      <c r="K16" s="117" t="str">
        <f t="shared" si="3"/>
        <v xml:space="preserve"> </v>
      </c>
      <c r="L16" s="117" t="str">
        <f t="shared" si="0"/>
        <v xml:space="preserve"> </v>
      </c>
      <c r="M16" s="9" t="str">
        <f t="shared" si="1"/>
        <v xml:space="preserve"> </v>
      </c>
      <c r="N16" s="10">
        <f t="shared" si="2"/>
        <v>0</v>
      </c>
      <c r="O16" s="3"/>
    </row>
    <row r="17" spans="1:15" x14ac:dyDescent="0.35">
      <c r="A17" s="3"/>
      <c r="B17" s="6" t="s">
        <v>8</v>
      </c>
      <c r="C17" s="181">
        <v>12</v>
      </c>
      <c r="D17" s="200"/>
      <c r="E17" s="182"/>
      <c r="F17" s="182"/>
      <c r="G17" s="182"/>
      <c r="H17" s="183"/>
      <c r="I17" s="3"/>
      <c r="J17" s="19">
        <v>12</v>
      </c>
      <c r="K17" s="117" t="str">
        <f t="shared" si="3"/>
        <v xml:space="preserve"> </v>
      </c>
      <c r="L17" s="117" t="str">
        <f t="shared" si="0"/>
        <v xml:space="preserve"> </v>
      </c>
      <c r="M17" s="9" t="str">
        <f t="shared" si="1"/>
        <v xml:space="preserve"> </v>
      </c>
      <c r="N17" s="10">
        <f t="shared" si="2"/>
        <v>0</v>
      </c>
      <c r="O17" s="3"/>
    </row>
    <row r="18" spans="1:15" x14ac:dyDescent="0.35">
      <c r="A18" s="3"/>
      <c r="B18" s="6" t="s">
        <v>8</v>
      </c>
      <c r="C18" s="181">
        <v>13</v>
      </c>
      <c r="D18" s="200"/>
      <c r="E18" s="182"/>
      <c r="F18" s="182"/>
      <c r="G18" s="182"/>
      <c r="H18" s="183"/>
      <c r="I18" s="3"/>
      <c r="J18" s="19">
        <v>13</v>
      </c>
      <c r="K18" s="117" t="str">
        <f t="shared" si="3"/>
        <v xml:space="preserve"> </v>
      </c>
      <c r="L18" s="117" t="str">
        <f t="shared" si="0"/>
        <v xml:space="preserve"> </v>
      </c>
      <c r="M18" s="9" t="str">
        <f t="shared" si="1"/>
        <v xml:space="preserve"> </v>
      </c>
      <c r="N18" s="10">
        <f>IFERROR(VLOOKUP(J18,$C$6:$F$30,2,FALSE)," ")</f>
        <v>0</v>
      </c>
      <c r="O18" s="3"/>
    </row>
    <row r="19" spans="1:15" x14ac:dyDescent="0.35">
      <c r="A19" s="3"/>
      <c r="B19" s="6" t="s">
        <v>8</v>
      </c>
      <c r="C19" s="181">
        <v>14</v>
      </c>
      <c r="D19" s="200"/>
      <c r="E19" s="182"/>
      <c r="F19" s="182"/>
      <c r="G19" s="182"/>
      <c r="H19" s="183"/>
      <c r="I19" s="3"/>
      <c r="J19" s="19">
        <v>14</v>
      </c>
      <c r="K19" s="117" t="str">
        <f t="shared" si="3"/>
        <v xml:space="preserve"> </v>
      </c>
      <c r="L19" s="117" t="str">
        <f t="shared" si="0"/>
        <v xml:space="preserve"> </v>
      </c>
      <c r="M19" s="9" t="str">
        <f t="shared" si="1"/>
        <v xml:space="preserve"> </v>
      </c>
      <c r="N19" s="10">
        <f t="shared" si="2"/>
        <v>0</v>
      </c>
      <c r="O19" s="3"/>
    </row>
    <row r="20" spans="1:15" x14ac:dyDescent="0.35">
      <c r="A20" s="3"/>
      <c r="B20" s="6" t="s">
        <v>8</v>
      </c>
      <c r="C20" s="181">
        <v>15</v>
      </c>
      <c r="D20" s="200"/>
      <c r="E20" s="182"/>
      <c r="F20" s="182"/>
      <c r="G20" s="182"/>
      <c r="H20" s="183"/>
      <c r="I20" s="3"/>
      <c r="J20" s="19">
        <v>15</v>
      </c>
      <c r="K20" s="117" t="str">
        <f t="shared" si="3"/>
        <v xml:space="preserve"> </v>
      </c>
      <c r="L20" s="117" t="str">
        <f t="shared" si="0"/>
        <v xml:space="preserve"> </v>
      </c>
      <c r="M20" s="9" t="str">
        <f t="shared" si="1"/>
        <v xml:space="preserve"> </v>
      </c>
      <c r="N20" s="10">
        <f t="shared" si="2"/>
        <v>0</v>
      </c>
      <c r="O20" s="3"/>
    </row>
    <row r="21" spans="1:15" x14ac:dyDescent="0.35">
      <c r="A21" s="3"/>
      <c r="B21" s="6" t="s">
        <v>8</v>
      </c>
      <c r="C21" s="181">
        <v>16</v>
      </c>
      <c r="D21" s="200"/>
      <c r="E21" s="182"/>
      <c r="F21" s="182"/>
      <c r="G21" s="182"/>
      <c r="H21" s="183"/>
      <c r="I21" s="3"/>
      <c r="J21" s="19">
        <v>16</v>
      </c>
      <c r="K21" s="117" t="str">
        <f t="shared" si="3"/>
        <v xml:space="preserve"> </v>
      </c>
      <c r="L21" s="117" t="str">
        <f t="shared" si="0"/>
        <v xml:space="preserve"> </v>
      </c>
      <c r="M21" s="9" t="str">
        <f t="shared" si="1"/>
        <v xml:space="preserve"> </v>
      </c>
      <c r="N21" s="10">
        <f t="shared" si="2"/>
        <v>0</v>
      </c>
      <c r="O21" s="3"/>
    </row>
    <row r="22" spans="1:15" x14ac:dyDescent="0.35">
      <c r="A22" s="3"/>
      <c r="B22" s="6" t="s">
        <v>8</v>
      </c>
      <c r="C22" s="181">
        <v>17</v>
      </c>
      <c r="D22" s="200"/>
      <c r="E22" s="182"/>
      <c r="F22" s="182"/>
      <c r="G22" s="182"/>
      <c r="H22" s="183"/>
      <c r="I22" s="3"/>
      <c r="J22" s="19">
        <v>17</v>
      </c>
      <c r="K22" s="117" t="str">
        <f t="shared" si="3"/>
        <v xml:space="preserve"> </v>
      </c>
      <c r="L22" s="117" t="str">
        <f t="shared" si="0"/>
        <v xml:space="preserve"> </v>
      </c>
      <c r="M22" s="9" t="str">
        <f t="shared" si="1"/>
        <v xml:space="preserve"> </v>
      </c>
      <c r="N22" s="10">
        <f t="shared" si="2"/>
        <v>0</v>
      </c>
      <c r="O22" s="3"/>
    </row>
    <row r="23" spans="1:15" x14ac:dyDescent="0.35">
      <c r="A23" s="3"/>
      <c r="B23" s="6" t="s">
        <v>8</v>
      </c>
      <c r="C23" s="181">
        <v>18</v>
      </c>
      <c r="D23" s="200"/>
      <c r="E23" s="182"/>
      <c r="F23" s="182"/>
      <c r="G23" s="182"/>
      <c r="H23" s="183"/>
      <c r="I23" s="3"/>
      <c r="J23" s="19">
        <v>18</v>
      </c>
      <c r="K23" s="117" t="str">
        <f t="shared" si="3"/>
        <v xml:space="preserve"> </v>
      </c>
      <c r="L23" s="117" t="str">
        <f t="shared" si="0"/>
        <v xml:space="preserve"> </v>
      </c>
      <c r="M23" s="9" t="str">
        <f t="shared" si="1"/>
        <v xml:space="preserve"> </v>
      </c>
      <c r="N23" s="10">
        <f t="shared" si="2"/>
        <v>0</v>
      </c>
      <c r="O23" s="3"/>
    </row>
    <row r="24" spans="1:15" x14ac:dyDescent="0.35">
      <c r="A24" s="3"/>
      <c r="B24" s="6" t="s">
        <v>8</v>
      </c>
      <c r="C24" s="181">
        <v>19</v>
      </c>
      <c r="D24" s="200"/>
      <c r="E24" s="182"/>
      <c r="F24" s="182"/>
      <c r="G24" s="182"/>
      <c r="H24" s="183"/>
      <c r="I24" s="3"/>
      <c r="J24" s="19">
        <v>19</v>
      </c>
      <c r="K24" s="117" t="str">
        <f t="shared" si="3"/>
        <v xml:space="preserve"> </v>
      </c>
      <c r="L24" s="117" t="str">
        <f t="shared" si="0"/>
        <v xml:space="preserve"> </v>
      </c>
      <c r="M24" s="9" t="str">
        <f t="shared" si="1"/>
        <v xml:space="preserve"> </v>
      </c>
      <c r="N24" s="10">
        <f t="shared" si="2"/>
        <v>0</v>
      </c>
      <c r="O24" s="3"/>
    </row>
    <row r="25" spans="1:15" x14ac:dyDescent="0.35">
      <c r="A25" s="3"/>
      <c r="B25" s="6" t="s">
        <v>8</v>
      </c>
      <c r="C25" s="181">
        <v>20</v>
      </c>
      <c r="D25" s="200"/>
      <c r="E25" s="182"/>
      <c r="F25" s="182"/>
      <c r="G25" s="182"/>
      <c r="H25" s="183"/>
      <c r="I25" s="3"/>
      <c r="J25" s="19">
        <v>20</v>
      </c>
      <c r="K25" s="117" t="str">
        <f t="shared" si="3"/>
        <v xml:space="preserve"> </v>
      </c>
      <c r="L25" s="117" t="str">
        <f t="shared" si="0"/>
        <v xml:space="preserve"> </v>
      </c>
      <c r="M25" s="9" t="str">
        <f t="shared" si="1"/>
        <v xml:space="preserve"> </v>
      </c>
      <c r="N25" s="10">
        <f t="shared" si="2"/>
        <v>0</v>
      </c>
      <c r="O25" s="3"/>
    </row>
    <row r="26" spans="1:15" x14ac:dyDescent="0.35">
      <c r="A26" s="3"/>
      <c r="B26" s="6" t="s">
        <v>8</v>
      </c>
      <c r="C26" s="181">
        <v>21</v>
      </c>
      <c r="D26" s="200"/>
      <c r="E26" s="182"/>
      <c r="F26" s="182"/>
      <c r="G26" s="182"/>
      <c r="H26" s="183"/>
      <c r="I26" s="3"/>
      <c r="J26" s="19">
        <v>21</v>
      </c>
      <c r="K26" s="117" t="str">
        <f t="shared" si="3"/>
        <v xml:space="preserve"> </v>
      </c>
      <c r="L26" s="117" t="str">
        <f t="shared" si="0"/>
        <v xml:space="preserve"> </v>
      </c>
      <c r="M26" s="9" t="str">
        <f t="shared" si="1"/>
        <v xml:space="preserve"> </v>
      </c>
      <c r="N26" s="10">
        <f t="shared" si="2"/>
        <v>0</v>
      </c>
      <c r="O26" s="3"/>
    </row>
    <row r="27" spans="1:15" x14ac:dyDescent="0.35">
      <c r="A27" s="3"/>
      <c r="B27" s="6" t="s">
        <v>8</v>
      </c>
      <c r="C27" s="181">
        <v>22</v>
      </c>
      <c r="D27" s="200"/>
      <c r="E27" s="182"/>
      <c r="F27" s="182"/>
      <c r="G27" s="182"/>
      <c r="H27" s="183"/>
      <c r="I27" s="3"/>
      <c r="J27" s="19">
        <v>22</v>
      </c>
      <c r="K27" s="117" t="str">
        <f t="shared" si="3"/>
        <v xml:space="preserve"> </v>
      </c>
      <c r="L27" s="117" t="str">
        <f t="shared" si="0"/>
        <v xml:space="preserve"> </v>
      </c>
      <c r="M27" s="9" t="str">
        <f t="shared" si="1"/>
        <v xml:space="preserve"> </v>
      </c>
      <c r="N27" s="10">
        <f t="shared" si="2"/>
        <v>0</v>
      </c>
      <c r="O27" s="3"/>
    </row>
    <row r="28" spans="1:15" x14ac:dyDescent="0.35">
      <c r="A28" s="3"/>
      <c r="B28" s="6" t="s">
        <v>8</v>
      </c>
      <c r="C28" s="181">
        <v>23</v>
      </c>
      <c r="D28" s="200"/>
      <c r="E28" s="182"/>
      <c r="F28" s="182"/>
      <c r="G28" s="182"/>
      <c r="H28" s="183"/>
      <c r="I28" s="3"/>
      <c r="J28" s="19">
        <v>23</v>
      </c>
      <c r="K28" s="117" t="str">
        <f t="shared" si="3"/>
        <v xml:space="preserve"> </v>
      </c>
      <c r="L28" s="117" t="str">
        <f t="shared" si="0"/>
        <v xml:space="preserve"> </v>
      </c>
      <c r="M28" s="9" t="str">
        <f t="shared" si="1"/>
        <v xml:space="preserve"> </v>
      </c>
      <c r="N28" s="10">
        <f t="shared" si="2"/>
        <v>0</v>
      </c>
      <c r="O28" s="3"/>
    </row>
    <row r="29" spans="1:15" x14ac:dyDescent="0.35">
      <c r="A29" s="3"/>
      <c r="B29" s="6" t="s">
        <v>8</v>
      </c>
      <c r="C29" s="181">
        <v>24</v>
      </c>
      <c r="D29" s="200"/>
      <c r="E29" s="182"/>
      <c r="F29" s="182"/>
      <c r="G29" s="182"/>
      <c r="H29" s="183"/>
      <c r="I29" s="3"/>
      <c r="J29" s="19">
        <v>24</v>
      </c>
      <c r="K29" s="117" t="str">
        <f t="shared" si="3"/>
        <v xml:space="preserve"> </v>
      </c>
      <c r="L29" s="117" t="str">
        <f t="shared" si="0"/>
        <v xml:space="preserve"> </v>
      </c>
      <c r="M29" s="9" t="str">
        <f t="shared" si="1"/>
        <v xml:space="preserve"> </v>
      </c>
      <c r="N29" s="10">
        <f t="shared" si="2"/>
        <v>0</v>
      </c>
      <c r="O29" s="3"/>
    </row>
    <row r="30" spans="1:15" ht="15" thickBot="1" x14ac:dyDescent="0.4">
      <c r="A30" s="3"/>
      <c r="B30" s="7" t="s">
        <v>8</v>
      </c>
      <c r="C30" s="185">
        <v>25</v>
      </c>
      <c r="D30" s="201"/>
      <c r="E30" s="186"/>
      <c r="F30" s="186"/>
      <c r="G30" s="186"/>
      <c r="H30" s="187"/>
      <c r="I30" s="3"/>
      <c r="J30" s="20">
        <v>25</v>
      </c>
      <c r="K30" s="118" t="str">
        <f t="shared" si="3"/>
        <v xml:space="preserve"> </v>
      </c>
      <c r="L30" s="118" t="str">
        <f t="shared" si="0"/>
        <v xml:space="preserve"> </v>
      </c>
      <c r="M30" s="130" t="str">
        <f t="shared" si="1"/>
        <v xml:space="preserve"> </v>
      </c>
      <c r="N30" s="21">
        <f t="shared" si="2"/>
        <v>0</v>
      </c>
      <c r="O30" s="3"/>
    </row>
    <row r="31" spans="1:15" x14ac:dyDescent="0.35">
      <c r="A31" s="3"/>
      <c r="B31" s="3"/>
      <c r="C31" s="3"/>
      <c r="D31" s="147"/>
      <c r="E31" s="3"/>
      <c r="F31" s="3"/>
      <c r="G31" s="3"/>
      <c r="H31" s="3"/>
      <c r="I31" s="3"/>
      <c r="J31" s="3"/>
      <c r="K31" s="3"/>
      <c r="L31" s="3"/>
      <c r="M31" s="3"/>
      <c r="N31" s="3"/>
      <c r="O31" s="3"/>
    </row>
    <row r="32" spans="1:15" x14ac:dyDescent="0.35">
      <c r="A32" s="3"/>
      <c r="B32" s="3"/>
      <c r="C32" s="3"/>
      <c r="D32" s="147"/>
      <c r="E32" s="3"/>
      <c r="F32" s="3"/>
      <c r="G32" s="3"/>
      <c r="H32" s="3"/>
      <c r="I32" s="3"/>
      <c r="J32" s="3"/>
      <c r="K32" s="3"/>
      <c r="L32" s="3"/>
      <c r="M32" s="3"/>
      <c r="N32" s="3"/>
      <c r="O32" s="3"/>
    </row>
    <row r="33" spans="1:15" x14ac:dyDescent="0.35">
      <c r="A33" s="3"/>
      <c r="B33" s="3"/>
      <c r="C33" s="3"/>
      <c r="D33" s="147"/>
      <c r="E33" s="3"/>
      <c r="F33" s="3"/>
      <c r="G33" s="3"/>
      <c r="H33" s="3"/>
      <c r="I33" s="3"/>
      <c r="J33" s="3"/>
      <c r="K33" s="3"/>
      <c r="L33" s="3"/>
      <c r="M33" s="3"/>
      <c r="N33" s="3"/>
      <c r="O33" s="3"/>
    </row>
  </sheetData>
  <sheetProtection algorithmName="SHA-512" hashValue="FtS/fWtsFDa+0fhhHk8wOvKE2cjBODiRirbwYs3RGJFPR4q8zz1cVUHTzSopU1RU3HFGvGEeCz3Edhft5+n1sw==" saltValue="o4DSe4sYNOrDLhjAKRW2kw==" spinCount="100000" sheet="1" objects="1" scenarios="1"/>
  <mergeCells count="5">
    <mergeCell ref="J3:K3"/>
    <mergeCell ref="J1:M1"/>
    <mergeCell ref="J2:M2"/>
    <mergeCell ref="B3:D3"/>
    <mergeCell ref="B5:C5"/>
  </mergeCells>
  <phoneticPr fontId="6" type="noConversion"/>
  <dataValidations count="2">
    <dataValidation allowBlank="1" showInputMessage="1" showErrorMessage="1" prompt="You don't have to fill this out its just for fun" sqref="G5" xr:uid="{4DC32901-4A1F-4047-B2FB-F21176D96ABA}"/>
    <dataValidation allowBlank="1" showInputMessage="1" showErrorMessage="1" prompt="Also just for fun." sqref="H5" xr:uid="{C61A4C45-07B7-4FC1-8973-9E4E8D82A532}"/>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6068D-7AE3-42A4-B9CB-663E9C9EE82B}">
  <sheetPr codeName="Sheet4">
    <tabColor theme="5"/>
    <pageSetUpPr autoPageBreaks="0" fitToPage="1"/>
  </sheetPr>
  <dimension ref="A1:N105"/>
  <sheetViews>
    <sheetView showGridLines="0" topLeftCell="A21" zoomScaleNormal="100" workbookViewId="0">
      <selection activeCell="B8" sqref="B8"/>
    </sheetView>
  </sheetViews>
  <sheetFormatPr defaultColWidth="8.7265625" defaultRowHeight="14.5" x14ac:dyDescent="0.35"/>
  <cols>
    <col min="1" max="1" width="3.1796875" style="24" customWidth="1"/>
    <col min="2" max="8" width="26.81640625" style="24" customWidth="1"/>
    <col min="9" max="9" width="9.54296875" style="24" customWidth="1"/>
    <col min="10" max="10" width="15.6328125" style="24" customWidth="1"/>
    <col min="11" max="11" width="13.6328125" style="24" customWidth="1"/>
    <col min="12" max="12" width="8.7265625" style="24"/>
    <col min="13" max="13" width="12.26953125" style="24" customWidth="1"/>
    <col min="14" max="16384" width="8.7265625" style="24"/>
  </cols>
  <sheetData>
    <row r="1" spans="1:14" ht="29" customHeight="1" thickBot="1" x14ac:dyDescent="0.55000000000000004">
      <c r="B1" s="25" t="s">
        <v>53</v>
      </c>
      <c r="F1" s="43" t="s">
        <v>18</v>
      </c>
    </row>
    <row r="2" spans="1:14" ht="16" thickBot="1" x14ac:dyDescent="0.4">
      <c r="B2" s="26" t="s">
        <v>17</v>
      </c>
      <c r="C2" s="26"/>
      <c r="D2" s="26"/>
      <c r="F2" s="44" t="s">
        <v>10</v>
      </c>
      <c r="G2" s="44" t="s">
        <v>19</v>
      </c>
      <c r="H2" s="44" t="s">
        <v>20</v>
      </c>
      <c r="M2" s="24" t="s">
        <v>34</v>
      </c>
      <c r="N2" s="24">
        <f>IF((DreamStartMonth+1)&lt;=12,DreamStartMonth+1,1)</f>
        <v>6</v>
      </c>
    </row>
    <row r="3" spans="1:14" ht="16" thickBot="1" x14ac:dyDescent="0.4">
      <c r="C3" s="26"/>
      <c r="D3" s="26"/>
      <c r="F3" s="62">
        <f>DreamStartDate</f>
        <v>45071</v>
      </c>
      <c r="G3" s="45">
        <f>YEAR(DreamStartDate)</f>
        <v>2023</v>
      </c>
      <c r="H3" s="46">
        <f>MONTH(DreamStartDate)</f>
        <v>5</v>
      </c>
      <c r="M3" s="24" t="s">
        <v>35</v>
      </c>
      <c r="N3" s="24">
        <f>IF((DreamStartMonth+2)&lt;=12,DreamStartMonth+2,IF((DreamStartMonth+2)&lt;=13,1,2))</f>
        <v>7</v>
      </c>
    </row>
    <row r="4" spans="1:14" ht="16" thickBot="1" x14ac:dyDescent="0.4">
      <c r="C4" s="26"/>
      <c r="D4" s="26"/>
      <c r="F4" s="108"/>
      <c r="G4" s="109"/>
      <c r="H4" s="109"/>
    </row>
    <row r="5" spans="1:14" ht="21.5" customHeight="1" thickBot="1" x14ac:dyDescent="0.4">
      <c r="B5" s="97" t="s">
        <v>28</v>
      </c>
      <c r="C5" s="26"/>
      <c r="D5" s="26"/>
      <c r="F5" s="108"/>
      <c r="G5" s="109"/>
      <c r="H5" s="109"/>
    </row>
    <row r="6" spans="1:14" ht="49" customHeight="1" thickBot="1" x14ac:dyDescent="0.4">
      <c r="B6" s="144" t="s">
        <v>81</v>
      </c>
      <c r="C6" s="26"/>
      <c r="D6" s="145"/>
      <c r="F6" s="26"/>
      <c r="G6" s="26"/>
      <c r="H6" s="26"/>
    </row>
    <row r="7" spans="1:14" ht="15" thickBot="1" x14ac:dyDescent="0.4">
      <c r="B7" s="146" t="s">
        <v>54</v>
      </c>
      <c r="C7" s="26"/>
      <c r="D7" s="145"/>
      <c r="F7" s="26"/>
      <c r="G7" s="26"/>
      <c r="H7" s="26"/>
    </row>
    <row r="8" spans="1:14" ht="15" thickBot="1" x14ac:dyDescent="0.4">
      <c r="B8" s="148" t="s">
        <v>83</v>
      </c>
      <c r="F8" s="26"/>
      <c r="G8" s="26"/>
      <c r="H8" s="26"/>
    </row>
    <row r="9" spans="1:14" x14ac:dyDescent="0.35">
      <c r="B9" s="24" t="s">
        <v>80</v>
      </c>
      <c r="E9" s="26"/>
      <c r="F9" s="26"/>
      <c r="G9" s="26"/>
    </row>
    <row r="10" spans="1:14" ht="45.5" thickBot="1" x14ac:dyDescent="0.6">
      <c r="B10" s="122" t="str" cm="1">
        <f t="array" ref="B10">(_xlfn.IFS(H3=1,"January ",H3=2,"February ",H3=3,"March ",H3=4,"April ",H3=5,"May ",H3=6,"June ",H3=7,"July ",H3=8,"August ",H3=9,"September ",H3=10,"October ",H3=11,"November ",H3=12,"December "))&amp;YEAR(B17)</f>
        <v>May 2023</v>
      </c>
      <c r="C10" s="122"/>
      <c r="D10" s="37"/>
      <c r="E10" s="27"/>
      <c r="F10" s="27"/>
      <c r="G10" s="27"/>
      <c r="H10" s="28"/>
      <c r="K10" s="29"/>
    </row>
    <row r="11" spans="1:14" s="30" customFormat="1" ht="21.75" customHeight="1" thickBot="1" x14ac:dyDescent="0.4">
      <c r="A11" s="24"/>
      <c r="B11" s="35" t="s">
        <v>24</v>
      </c>
      <c r="C11" s="97" t="s">
        <v>23</v>
      </c>
      <c r="D11" s="35" t="s">
        <v>25</v>
      </c>
      <c r="E11" s="97" t="s">
        <v>26</v>
      </c>
      <c r="F11" s="35" t="s">
        <v>27</v>
      </c>
      <c r="G11" s="97" t="s">
        <v>28</v>
      </c>
      <c r="H11" s="97" t="s">
        <v>29</v>
      </c>
      <c r="J11" s="31"/>
    </row>
    <row r="12" spans="1:14" s="32" customFormat="1" ht="19.5" customHeight="1" x14ac:dyDescent="0.35">
      <c r="A12" s="24"/>
      <c r="B12" s="38" t="str">
        <f>'Itinerary-CODE'!B4</f>
        <v/>
      </c>
      <c r="C12" s="38">
        <f>'Itinerary-CODE'!C4</f>
        <v>45047</v>
      </c>
      <c r="D12" s="38">
        <f>'Itinerary-CODE'!D4</f>
        <v>45048</v>
      </c>
      <c r="E12" s="38">
        <f>'Itinerary-CODE'!E4</f>
        <v>45049</v>
      </c>
      <c r="F12" s="38">
        <f>'Itinerary-CODE'!F4</f>
        <v>45050</v>
      </c>
      <c r="G12" s="38">
        <f>'Itinerary-CODE'!G4</f>
        <v>45051</v>
      </c>
      <c r="H12" s="38">
        <f>'Itinerary-CODE'!H4</f>
        <v>45052</v>
      </c>
      <c r="J12" s="31"/>
    </row>
    <row r="13" spans="1:14" x14ac:dyDescent="0.35">
      <c r="B13" s="111" t="str">
        <f>IFERROR(VLOOKUP(B12,Itinerary!$B$9:$E$108,2,FALSE)," ")</f>
        <v xml:space="preserve"> </v>
      </c>
      <c r="C13" s="111" t="str">
        <f>IFERROR(VLOOKUP(C12,Itinerary!$B$9:$E$108,2,FALSE)," ")</f>
        <v xml:space="preserve"> </v>
      </c>
      <c r="D13" s="111" t="str">
        <f>IFERROR(VLOOKUP(D12,Itinerary!$B$9:$E$108,2,FALSE)," ")</f>
        <v xml:space="preserve"> </v>
      </c>
      <c r="E13" s="111" t="str">
        <f>IFERROR(VLOOKUP(E12,Itinerary!$B$9:$E$108,2,FALSE)," ")</f>
        <v xml:space="preserve"> </v>
      </c>
      <c r="F13" s="111" t="str">
        <f>IFERROR(VLOOKUP(F12,Itinerary!$B$9:$E$108,2,FALSE)," ")</f>
        <v xml:space="preserve"> </v>
      </c>
      <c r="G13" s="111" t="str">
        <f>IFERROR(VLOOKUP(G12,Itinerary!$B$9:$E$108,2,FALSE)," ")</f>
        <v xml:space="preserve"> </v>
      </c>
      <c r="H13" s="111" t="str">
        <f>IFERROR(VLOOKUP(H12,Itinerary!$B$9:$E$108,2,FALSE)," ")</f>
        <v xml:space="preserve"> </v>
      </c>
      <c r="J13" s="33"/>
    </row>
    <row r="14" spans="1:14" s="124" customFormat="1" x14ac:dyDescent="0.35">
      <c r="B14" s="126" t="str">
        <f>IFERROR(VLOOKUP(B12,Itinerary!$B$9:$E$108,3,FALSE)," ")</f>
        <v xml:space="preserve"> </v>
      </c>
      <c r="C14" s="126" t="str">
        <f>IFERROR(VLOOKUP(C12,Itinerary!$B$9:$E$108,3,FALSE)," ")</f>
        <v xml:space="preserve"> </v>
      </c>
      <c r="D14" s="126" t="str">
        <f>IFERROR(VLOOKUP(D12,Itinerary!$B$9:$E$108,3,FALSE)," ")</f>
        <v xml:space="preserve"> </v>
      </c>
      <c r="E14" s="126" t="str">
        <f>IFERROR(VLOOKUP(E12,Itinerary!$B$9:$E$108,3,FALSE)," ")</f>
        <v xml:space="preserve"> </v>
      </c>
      <c r="F14" s="126" t="str">
        <f>IFERROR(VLOOKUP(F12,Itinerary!$B$9:$E$108,3,FALSE)," ")</f>
        <v xml:space="preserve"> </v>
      </c>
      <c r="G14" s="126" t="str">
        <f>IFERROR(VLOOKUP(G12,Itinerary!$B$9:$E$108,3,FALSE)," ")</f>
        <v xml:space="preserve"> </v>
      </c>
      <c r="H14" s="126" t="str">
        <f>IFERROR(VLOOKUP(H12,Itinerary!$B$9:$E$108,3,FALSE)," ")</f>
        <v xml:space="preserve"> </v>
      </c>
      <c r="J14" s="128"/>
    </row>
    <row r="15" spans="1:14" x14ac:dyDescent="0.35">
      <c r="B15" s="131" t="str">
        <f>IFERROR(IF(VLOOKUP(B12,Itinerary!$B$9:$E$108,4,FALSE)="Yes","TRAVEL DAY"," ")," ")</f>
        <v xml:space="preserve"> </v>
      </c>
      <c r="C15" s="131" t="str">
        <f>IFERROR(IF(VLOOKUP(C12,Itinerary!$B$9:$E$108,4,FALSE)="Yes","TRAVEL DAY"," ")," ")</f>
        <v xml:space="preserve"> </v>
      </c>
      <c r="D15" s="131" t="str">
        <f>IFERROR(IF(VLOOKUP(D12,Itinerary!$B$9:$E$108,4,FALSE)="Yes","TRAVEL DAY"," ")," ")</f>
        <v xml:space="preserve"> </v>
      </c>
      <c r="E15" s="131" t="str">
        <f>IFERROR(IF(VLOOKUP(E12,Itinerary!$B$9:$E$108,4,FALSE)="Yes","TRAVEL DAY"," ")," ")</f>
        <v xml:space="preserve"> </v>
      </c>
      <c r="F15" s="131" t="str">
        <f>IFERROR(IF(VLOOKUP(F12,Itinerary!$B$9:$E$108,4,FALSE)="Yes","TRAVEL DAY"," ")," ")</f>
        <v xml:space="preserve"> </v>
      </c>
      <c r="G15" s="131" t="str">
        <f>IFERROR(IF(VLOOKUP(G12,Itinerary!$B$9:$E$108,4,FALSE)="Yes","TRAVEL DAY"," ")," ")</f>
        <v xml:space="preserve"> </v>
      </c>
      <c r="H15" s="131" t="str">
        <f>IFERROR(IF(VLOOKUP(H12,Itinerary!$B$9:$E$108,4,FALSE)="Yes","TRAVEL DAY"," ")," ")</f>
        <v xml:space="preserve"> </v>
      </c>
      <c r="J15" s="33"/>
    </row>
    <row r="16" spans="1:14" ht="58.25" customHeight="1" thickBot="1" x14ac:dyDescent="0.4">
      <c r="B16" s="131" t="str" cm="1">
        <f t="array" ref="B16">IFERROR(_xlfn.IFS($B$8="Travel Plan",VLOOKUP(B12,Table2[],5,FALSE),$B$8="Day Plan/Activities",VLOOKUP(B12,Table2[],6,FALSE),$B$8="Today's Budget",VLOOKUP(B12,Table2[],7,FALSE),$B$8="Notes",VLOOKUP(B12,Table2[],8,FALSE))," ")</f>
        <v xml:space="preserve"> </v>
      </c>
      <c r="C16" s="131" t="str" cm="1">
        <f t="array" ref="C16">IFERROR(_xlfn.IFS($B$8="Travel Plan",VLOOKUP(C12,Table2[],5,FALSE),$B$8="Day Plan/Activities",VLOOKUP(C12,Table2[],6,FALSE),$B$8="Today's Budget",VLOOKUP(C12,Table2[],7,FALSE),$B$8="Notes",VLOOKUP(C12,Table2[],8,FALSE))," ")</f>
        <v xml:space="preserve"> </v>
      </c>
      <c r="D16" s="131" t="str" cm="1">
        <f t="array" ref="D16">IFERROR(_xlfn.IFS($B$8="Travel Plan",VLOOKUP(D12,Table2[],5,FALSE),$B$8="Day Plan/Activities",VLOOKUP(D12,Table2[],6,FALSE),$B$8="Today's Budget",VLOOKUP(D12,Table2[],7,FALSE),$B$8="Notes",VLOOKUP(D12,Table2[],8,FALSE))," ")</f>
        <v xml:space="preserve"> </v>
      </c>
      <c r="E16" s="131" t="str" cm="1">
        <f t="array" ref="E16">IFERROR(_xlfn.IFS($B$8="Travel Plan",VLOOKUP(E12,Table2[],5,FALSE),$B$8="Day Plan/Activities",VLOOKUP(E12,Table2[],6,FALSE),$B$8="Today's Budget",VLOOKUP(E12,Table2[],7,FALSE),$B$8="Notes",VLOOKUP(E12,Table2[],8,FALSE))," ")</f>
        <v xml:space="preserve"> </v>
      </c>
      <c r="F16" s="131" t="str" cm="1">
        <f t="array" ref="F16">IFERROR(_xlfn.IFS($B$8="Travel Plan",VLOOKUP(F12,Table2[],5,FALSE),$B$8="Day Plan/Activities",VLOOKUP(F12,Table2[],6,FALSE),$B$8="Today's Budget",VLOOKUP(F12,Table2[],7,FALSE),$B$8="Notes",VLOOKUP(F12,Table2[],8,FALSE))," ")</f>
        <v xml:space="preserve"> </v>
      </c>
      <c r="G16" s="131" t="str" cm="1">
        <f t="array" ref="G16">IFERROR(_xlfn.IFS($B$8="Travel Plan",VLOOKUP(G12,Table2[],5,FALSE),$B$8="Day Plan/Activities",VLOOKUP(G12,Table2[],6,FALSE),$B$8="Today's Budget",VLOOKUP(G12,Table2[],7,FALSE),$B$8="Notes",VLOOKUP(G12,Table2[],8,FALSE))," ")</f>
        <v xml:space="preserve"> </v>
      </c>
      <c r="H16" s="131" t="str" cm="1">
        <f t="array" ref="H16">IFERROR(_xlfn.IFS($B$8="Travel Plan",VLOOKUP(H12,Table2[],5,FALSE),$B$8="Day Plan/Activities",VLOOKUP(H12,Table2[],6,FALSE),$B$8="Today's Budget",VLOOKUP(H12,Table2[],7,FALSE),$B$8="Notes",VLOOKUP(H12,Table2[],8,FALSE))," ")</f>
        <v xml:space="preserve"> </v>
      </c>
      <c r="J16" s="33"/>
    </row>
    <row r="17" spans="1:10" s="32" customFormat="1" ht="19.5" customHeight="1" x14ac:dyDescent="0.35">
      <c r="A17" s="24"/>
      <c r="B17" s="41">
        <f>'Itinerary-CODE'!B5</f>
        <v>45053</v>
      </c>
      <c r="C17" s="41">
        <f>'Itinerary-CODE'!C5</f>
        <v>45054</v>
      </c>
      <c r="D17" s="41">
        <f>'Itinerary-CODE'!D5</f>
        <v>45055</v>
      </c>
      <c r="E17" s="41">
        <f>'Itinerary-CODE'!E5</f>
        <v>45056</v>
      </c>
      <c r="F17" s="41">
        <f>'Itinerary-CODE'!F5</f>
        <v>45057</v>
      </c>
      <c r="G17" s="41">
        <f>'Itinerary-CODE'!G5</f>
        <v>45058</v>
      </c>
      <c r="H17" s="41">
        <f>'Itinerary-CODE'!H5</f>
        <v>45059</v>
      </c>
    </row>
    <row r="18" spans="1:10" s="32" customFormat="1" x14ac:dyDescent="0.35">
      <c r="A18" s="24"/>
      <c r="B18" s="110" t="str">
        <f>IFERROR(VLOOKUP(B17,Itinerary!$B$9:$E$108,2,FALSE)," ")</f>
        <v xml:space="preserve"> </v>
      </c>
      <c r="C18" s="110" t="str">
        <f>IFERROR(VLOOKUP(C17,Itinerary!$B$9:$E$108,2,FALSE)," ")</f>
        <v xml:space="preserve"> </v>
      </c>
      <c r="D18" s="110" t="str">
        <f>IFERROR(VLOOKUP(D17,Itinerary!$B$9:$E$108,2,FALSE)," ")</f>
        <v xml:space="preserve"> </v>
      </c>
      <c r="E18" s="110" t="str">
        <f>IFERROR(VLOOKUP(E17,Itinerary!$B$9:$E$108,2,FALSE)," ")</f>
        <v xml:space="preserve"> </v>
      </c>
      <c r="F18" s="110" t="str">
        <f>IFERROR(VLOOKUP(F17,Itinerary!$B$9:$E$108,2,FALSE)," ")</f>
        <v xml:space="preserve"> </v>
      </c>
      <c r="G18" s="123" t="str">
        <f>IFERROR(VLOOKUP(G17,Itinerary!$B$9:$E$108,2,FALSE)," ")</f>
        <v xml:space="preserve"> </v>
      </c>
      <c r="H18" s="110" t="str">
        <f>IFERROR(VLOOKUP(H17,Itinerary!$B$9:$E$108,2,FALSE)," ")</f>
        <v xml:space="preserve"> </v>
      </c>
    </row>
    <row r="19" spans="1:10" s="124" customFormat="1" ht="29" x14ac:dyDescent="0.35">
      <c r="B19" s="125" t="str">
        <f>IFERROR(VLOOKUP(B17,Itinerary!$B$9:$E$108,3,FALSE)," ")</f>
        <v xml:space="preserve"> </v>
      </c>
      <c r="C19" s="125" t="str">
        <f>IFERROR(VLOOKUP(C17,Itinerary!$B$9:$E$108,3,FALSE)," ")</f>
        <v xml:space="preserve"> </v>
      </c>
      <c r="D19" s="125" t="str">
        <f>IFERROR(VLOOKUP(D17,Itinerary!$B$9:$E$108,3,FALSE)," ")</f>
        <v xml:space="preserve"> </v>
      </c>
      <c r="E19" s="125" t="str">
        <f>IFERROR(VLOOKUP(E17,Itinerary!$B$9:$E$108,3,FALSE)," ")</f>
        <v xml:space="preserve"> </v>
      </c>
      <c r="F19" s="125" t="str">
        <f>IFERROR(VLOOKUP(F17,Itinerary!$B$9:$E$108,3,FALSE)," ")</f>
        <v xml:space="preserve"> </v>
      </c>
      <c r="G19" s="125" t="str">
        <f>IFERROR(VLOOKUP(G17,Itinerary!$B$9:$E$108,3,FALSE)," ")</f>
        <v xml:space="preserve"> </v>
      </c>
      <c r="H19" s="125" t="str">
        <f>IFERROR(VLOOKUP(H17,Itinerary!$B$9:$E$108,3,FALSE)," ")</f>
        <v xml:space="preserve"> </v>
      </c>
    </row>
    <row r="20" spans="1:10" s="138" customFormat="1" x14ac:dyDescent="0.35">
      <c r="B20" s="143" t="str">
        <f>IFERROR(IF(VLOOKUP(B17,Itinerary!$B$9:$E$108,4,FALSE)="Yes","TRAVEL DAY"," ")," ")</f>
        <v xml:space="preserve"> </v>
      </c>
      <c r="C20" s="143" t="str">
        <f>IFERROR(IF(VLOOKUP(C17,Itinerary!$B$9:$E$108,4,FALSE)="Yes","TRAVEL DAY"," ")," ")</f>
        <v xml:space="preserve"> </v>
      </c>
      <c r="D20" s="143" t="str">
        <f>IFERROR(IF(VLOOKUP(D17,Itinerary!$B$9:$E$108,4,FALSE)="Yes","TRAVEL DAY"," ")," ")</f>
        <v xml:space="preserve"> </v>
      </c>
      <c r="E20" s="143" t="str">
        <f>IFERROR(IF(VLOOKUP(E17,Itinerary!$B$9:$E$108,4,FALSE)="Yes","TRAVEL DAY"," ")," ")</f>
        <v xml:space="preserve"> </v>
      </c>
      <c r="F20" s="143" t="str">
        <f>IFERROR(IF(VLOOKUP(F17,Itinerary!$B$9:$E$108,4,FALSE)="Yes","TRAVEL DAY"," ")," ")</f>
        <v xml:space="preserve"> </v>
      </c>
      <c r="G20" s="143" t="str">
        <f>IFERROR(IF(VLOOKUP(G17,Itinerary!$B$9:$E$108,4,FALSE)="Yes","TRAVEL DAY"," ")," ")</f>
        <v xml:space="preserve"> </v>
      </c>
      <c r="H20" s="143" t="str">
        <f>IFERROR(IF(VLOOKUP(H17,Itinerary!$B$9:$E$108,4,FALSE)="Yes","TRAVEL DAY"," ")," ")</f>
        <v xml:space="preserve"> </v>
      </c>
    </row>
    <row r="21" spans="1:10" ht="58.25" customHeight="1" thickBot="1" x14ac:dyDescent="0.4">
      <c r="B21" s="40" t="str" cm="1">
        <f t="array" ref="B21">IFERROR(_xlfn.IFS($B$8="Travel Plan",VLOOKUP(B17,Table2[],5,FALSE),$B$8="Day Plan/Activities",VLOOKUP(B17,Table2[],6,FALSE),$B$8="Today's Budget",VLOOKUP(B17,Table2[],7,FALSE),$B$8="Notes",VLOOKUP(B17,Table2[],8,FALSE))," ")</f>
        <v xml:space="preserve"> </v>
      </c>
      <c r="C21" s="40" t="str" cm="1">
        <f t="array" ref="C21">IFERROR(_xlfn.IFS($B$8="Travel Plan",VLOOKUP(C17,Table2[],5,FALSE),$B$8="Day Plan/Activities",VLOOKUP(C17,Table2[],6,FALSE),$B$8="Today's Budget",VLOOKUP(C17,Table2[],7,FALSE),$B$8="Notes",VLOOKUP(C17,Table2[],8,FALSE))," ")</f>
        <v xml:space="preserve"> </v>
      </c>
      <c r="D21" s="40" t="str" cm="1">
        <f t="array" ref="D21">IFERROR(_xlfn.IFS($B$8="Travel Plan",VLOOKUP(D17,Table2[],5,FALSE),$B$8="Day Plan/Activities",VLOOKUP(D17,Table2[],6,FALSE),$B$8="Today's Budget",VLOOKUP(D17,Table2[],7,FALSE),$B$8="Notes",VLOOKUP(D17,Table2[],8,FALSE))," ")</f>
        <v xml:space="preserve"> </v>
      </c>
      <c r="E21" s="40" t="str" cm="1">
        <f t="array" ref="E21">IFERROR(_xlfn.IFS($B$8="Travel Plan",VLOOKUP(E17,Table2[],5,FALSE),$B$8="Day Plan/Activities",VLOOKUP(E17,Table2[],6,FALSE),$B$8="Today's Budget",VLOOKUP(E17,Table2[],7,FALSE),$B$8="Notes",VLOOKUP(E17,Table2[],8,FALSE))," ")</f>
        <v xml:space="preserve"> </v>
      </c>
      <c r="F21" s="42" t="str" cm="1">
        <f t="array" ref="F21">IFERROR(_xlfn.IFS($B$8="Travel Plan",VLOOKUP(F17,Table2[],5,FALSE),$B$8="Day Plan/Activities",VLOOKUP(F17,Table2[],6,FALSE),$B$8="Today's Budget",VLOOKUP(F17,Table2[],7,FALSE),$B$8="Notes",VLOOKUP(F17,Table2[],8,FALSE))," ")</f>
        <v xml:space="preserve"> </v>
      </c>
      <c r="G21" s="40" t="str" cm="1">
        <f t="array" ref="G21">IFERROR(_xlfn.IFS($B$8="Travel Plan",VLOOKUP(G17,Table2[],5,FALSE),$B$8="Day Plan/Activities",VLOOKUP(G17,Table2[],6,FALSE),$B$8="Today's Budget",VLOOKUP(G17,Table2[],7,FALSE),$B$8="Notes",VLOOKUP(G17,Table2[],8,FALSE))," ")</f>
        <v xml:space="preserve"> </v>
      </c>
      <c r="H21" s="40" t="str" cm="1">
        <f t="array" ref="H21">IFERROR(_xlfn.IFS($B$8="Travel Plan",VLOOKUP(H17,Table2[],5,FALSE),$B$8="Day Plan/Activities",VLOOKUP(H17,Table2[],6,FALSE),$B$8="Today's Budget",VLOOKUP(H17,Table2[],7,FALSE),$B$8="Notes",VLOOKUP(H17,Table2[],8,FALSE))," ")</f>
        <v xml:space="preserve"> </v>
      </c>
      <c r="J21" s="34"/>
    </row>
    <row r="22" spans="1:10" s="32" customFormat="1" ht="19.5" customHeight="1" x14ac:dyDescent="0.35">
      <c r="A22" s="24"/>
      <c r="B22" s="308">
        <f>'Itinerary-CODE'!B6</f>
        <v>45060</v>
      </c>
      <c r="C22" s="38">
        <f>'Itinerary-CODE'!C6</f>
        <v>45061</v>
      </c>
      <c r="D22" s="39">
        <f>'Itinerary-CODE'!D6</f>
        <v>45062</v>
      </c>
      <c r="E22" s="39">
        <f>'Itinerary-CODE'!E6</f>
        <v>45063</v>
      </c>
      <c r="F22" s="39">
        <f>'Itinerary-CODE'!F6</f>
        <v>45064</v>
      </c>
      <c r="G22" s="39">
        <f>'Itinerary-CODE'!G6</f>
        <v>45065</v>
      </c>
      <c r="H22" s="39">
        <f>'Itinerary-CODE'!H6</f>
        <v>45066</v>
      </c>
      <c r="J22" s="34"/>
    </row>
    <row r="23" spans="1:10" s="32" customFormat="1" x14ac:dyDescent="0.35">
      <c r="A23" s="24"/>
      <c r="B23" s="309" t="str">
        <f>IFERROR(VLOOKUP(B22,Itinerary!$B$9:$E$108,2,FALSE)," ")</f>
        <v xml:space="preserve"> </v>
      </c>
      <c r="C23" s="111" t="str">
        <f>IFERROR(VLOOKUP(C22,Itinerary!$B$9:$E$108,2,FALSE)," ")</f>
        <v xml:space="preserve"> </v>
      </c>
      <c r="D23" s="111" t="str">
        <f>IFERROR(VLOOKUP(D22,Itinerary!$B$9:$E$108,2,FALSE)," ")</f>
        <v xml:space="preserve"> </v>
      </c>
      <c r="E23" s="111" t="str">
        <f>IFERROR(VLOOKUP(E22,Itinerary!$B$9:$E$108,2,FALSE)," ")</f>
        <v xml:space="preserve"> </v>
      </c>
      <c r="F23" s="111" t="str">
        <f>IFERROR(VLOOKUP(F22,Itinerary!$B$9:$E$108,2,FALSE)," ")</f>
        <v xml:space="preserve"> </v>
      </c>
      <c r="G23" s="111" t="str">
        <f>IFERROR(VLOOKUP(G22,Itinerary!$B$9:$E$108,2,FALSE)," ")</f>
        <v xml:space="preserve"> </v>
      </c>
      <c r="H23" s="111" t="str">
        <f>IFERROR(VLOOKUP(H22,Itinerary!$B$9:$E$108,2,FALSE)," ")</f>
        <v xml:space="preserve"> </v>
      </c>
      <c r="J23" s="34"/>
    </row>
    <row r="24" spans="1:10" s="124" customFormat="1" x14ac:dyDescent="0.35">
      <c r="B24" s="310" t="str">
        <f>IFERROR(VLOOKUP(B22,Itinerary!$B$9:$E$108,3,FALSE)," ")</f>
        <v xml:space="preserve"> </v>
      </c>
      <c r="C24" s="126" t="str">
        <f>IFERROR(VLOOKUP(C22,Itinerary!$B$9:$E$108,3,FALSE)," ")</f>
        <v xml:space="preserve"> </v>
      </c>
      <c r="D24" s="126" t="str">
        <f>IFERROR(VLOOKUP(D22,Itinerary!$B$9:$E$108,3,FALSE)," ")</f>
        <v xml:space="preserve"> </v>
      </c>
      <c r="E24" s="126" t="str">
        <f>IFERROR(VLOOKUP(E22,Itinerary!$B$9:$E$108,3,FALSE)," ")</f>
        <v xml:space="preserve"> </v>
      </c>
      <c r="F24" s="126" t="str">
        <f>IFERROR(VLOOKUP(F22,Itinerary!$B$9:$E$108,3,FALSE)," ")</f>
        <v xml:space="preserve"> </v>
      </c>
      <c r="G24" s="126" t="str">
        <f>IFERROR(VLOOKUP(G22,Itinerary!$B$9:$E$108,3,FALSE)," ")</f>
        <v xml:space="preserve"> </v>
      </c>
      <c r="H24" s="126" t="str">
        <f>IFERROR(VLOOKUP(H22,Itinerary!$B$9:$E$108,3,FALSE)," ")</f>
        <v xml:space="preserve"> </v>
      </c>
    </row>
    <row r="25" spans="1:10" s="138" customFormat="1" x14ac:dyDescent="0.35">
      <c r="B25" s="306" t="str">
        <f>IFERROR(IF(VLOOKUP(B22,Itinerary!$B$9:$E$108,4,FALSE)="Yes","TRAVEL DAY"," ")," ")</f>
        <v xml:space="preserve"> </v>
      </c>
      <c r="C25" s="139" t="str">
        <f>IFERROR(IF(VLOOKUP(C22,Itinerary!$B$9:$E$108,4,FALSE)="Yes","TRAVEL DAY"," ")," ")</f>
        <v xml:space="preserve"> </v>
      </c>
      <c r="D25" s="307" t="str">
        <f>IFERROR(IF(VLOOKUP(D22,Itinerary!$B$9:$E$108,4,FALSE)="Yes","TRAVEL DAY"," ")," ")</f>
        <v xml:space="preserve"> </v>
      </c>
      <c r="E25" s="139" t="str">
        <f>IFERROR(IF(VLOOKUP(E22,Itinerary!$B$9:$E$108,4,FALSE)="Yes","TRAVEL DAY"," ")," ")</f>
        <v xml:space="preserve"> </v>
      </c>
      <c r="F25" s="139" t="str">
        <f>IFERROR(IF(VLOOKUP(F22,Itinerary!$B$9:$E$108,4,FALSE)="Yes","TRAVEL DAY"," ")," ")</f>
        <v xml:space="preserve"> </v>
      </c>
      <c r="G25" s="139" t="str">
        <f>IFERROR(IF(VLOOKUP(G22,Itinerary!$B$9:$E$108,4,FALSE)="Yes","TRAVEL DAY"," ")," ")</f>
        <v xml:space="preserve"> </v>
      </c>
      <c r="H25" s="139" t="str">
        <f>IFERROR(IF(VLOOKUP(H22,Itinerary!$B$9:$E$108,4,FALSE)="Yes","TRAVEL DAY"," ")," ")</f>
        <v xml:space="preserve"> </v>
      </c>
    </row>
    <row r="26" spans="1:10" ht="58.25" customHeight="1" thickBot="1" x14ac:dyDescent="0.4">
      <c r="B26" s="131" t="str" cm="1">
        <f t="array" ref="B26">IFERROR(_xlfn.IFS($B$8="Travel Plan",VLOOKUP(B22,Table2[],5,FALSE),$B$8="Day Plan/Activities",VLOOKUP(B22,Table2[],6,FALSE),$B$8="Today's Budget",VLOOKUP(B22,Table2[],7,FALSE),$B$8="Notes",VLOOKUP(B22,Table2[],8,FALSE))," ")</f>
        <v xml:space="preserve"> </v>
      </c>
      <c r="C26" s="131" t="str" cm="1">
        <f t="array" ref="C26">IFERROR(_xlfn.IFS($B$8="Travel Plan",VLOOKUP(C22,Table2[],5,FALSE),$B$8="Day Plan/Activities",VLOOKUP(C22,Table2[],6,FALSE),$B$8="Today's Budget",VLOOKUP(C22,Table2[],7,FALSE),$B$8="Notes",VLOOKUP(C22,Table2[],8,FALSE))," ")</f>
        <v xml:space="preserve"> </v>
      </c>
      <c r="D26" s="131" t="str" cm="1">
        <f t="array" ref="D26">IFERROR(_xlfn.IFS($B$8="Travel Plan",VLOOKUP(D22,Table2[],5,FALSE),$B$8="Day Plan/Activities",VLOOKUP(D22,Table2[],6,FALSE),$B$8="Today's Budget",VLOOKUP(D22,Table2[],7,FALSE),$B$8="Notes",VLOOKUP(D22,Table2[],8,FALSE))," ")</f>
        <v xml:space="preserve"> </v>
      </c>
      <c r="E26" s="131" t="str" cm="1">
        <f t="array" ref="E26">IFERROR(_xlfn.IFS($B$8="Travel Plan",VLOOKUP(E22,Table2[],5,FALSE),$B$8="Day Plan/Activities",VLOOKUP(E22,Table2[],6,FALSE),$B$8="Today's Budget",VLOOKUP(E22,Table2[],7,FALSE),$B$8="Notes",VLOOKUP(E22,Table2[],8,FALSE))," ")</f>
        <v xml:space="preserve"> </v>
      </c>
      <c r="F26" s="131" t="str" cm="1">
        <f t="array" ref="F26">IFERROR(_xlfn.IFS($B$8="Travel Plan",VLOOKUP(F22,Table2[],5,FALSE),$B$8="Day Plan/Activities",VLOOKUP(F22,Table2[],6,FALSE),$B$8="Today's Budget",VLOOKUP(F22,Table2[],7,FALSE),$B$8="Notes",VLOOKUP(F22,Table2[],8,FALSE))," ")</f>
        <v xml:space="preserve"> </v>
      </c>
      <c r="G26" s="131" t="str" cm="1">
        <f t="array" ref="G26">IFERROR(_xlfn.IFS($B$8="Travel Plan",VLOOKUP(G22,Table2[],5,FALSE),$B$8="Day Plan/Activities",VLOOKUP(G22,Table2[],6,FALSE),$B$8="Today's Budget",VLOOKUP(G22,Table2[],7,FALSE),$B$8="Notes",VLOOKUP(G22,Table2[],8,FALSE))," ")</f>
        <v xml:space="preserve"> </v>
      </c>
      <c r="H26" s="131" t="str" cm="1">
        <f t="array" ref="H26">IFERROR(_xlfn.IFS($B$8="Travel Plan",VLOOKUP(H22,Table2[],5,FALSE),$B$8="Day Plan/Activities",VLOOKUP(H22,Table2[],6,FALSE),$B$8="Today's Budget",VLOOKUP(H22,Table2[],7,FALSE),$B$8="Notes",VLOOKUP(H22,Table2[],8,FALSE))," ")</f>
        <v xml:space="preserve"> </v>
      </c>
    </row>
    <row r="27" spans="1:10" s="32" customFormat="1" ht="19.5" customHeight="1" x14ac:dyDescent="0.35">
      <c r="A27" s="24"/>
      <c r="B27" s="41">
        <f>'Itinerary-CODE'!B7</f>
        <v>45067</v>
      </c>
      <c r="C27" s="41">
        <f>'Itinerary-CODE'!C7</f>
        <v>45068</v>
      </c>
      <c r="D27" s="41">
        <f>'Itinerary-CODE'!D7</f>
        <v>45069</v>
      </c>
      <c r="E27" s="41">
        <f>'Itinerary-CODE'!E7</f>
        <v>45070</v>
      </c>
      <c r="F27" s="41">
        <f>'Itinerary-CODE'!F7</f>
        <v>45071</v>
      </c>
      <c r="G27" s="41">
        <f>'Itinerary-CODE'!G7</f>
        <v>45072</v>
      </c>
      <c r="H27" s="41">
        <f>'Itinerary-CODE'!H7</f>
        <v>45073</v>
      </c>
    </row>
    <row r="28" spans="1:10" s="32" customFormat="1" x14ac:dyDescent="0.35">
      <c r="A28" s="24"/>
      <c r="B28" s="110" t="str">
        <f>IFERROR(VLOOKUP(B27,Itinerary!$B$9:$E$108,2,FALSE)," ")</f>
        <v xml:space="preserve"> </v>
      </c>
      <c r="C28" s="110" t="str">
        <f>IFERROR(VLOOKUP(C27,Itinerary!$B$9:$E$108,2,FALSE)," ")</f>
        <v xml:space="preserve"> </v>
      </c>
      <c r="D28" s="110" t="str">
        <f>IFERROR(VLOOKUP(D27,Itinerary!$B$9:$E$108,2,FALSE)," ")</f>
        <v xml:space="preserve"> </v>
      </c>
      <c r="E28" s="110" t="str">
        <f>IFERROR(VLOOKUP(E27,Itinerary!$B$9:$E$108,2,FALSE)," ")</f>
        <v xml:space="preserve"> </v>
      </c>
      <c r="F28" s="110" t="str">
        <f>IFERROR(VLOOKUP(F27,Itinerary!$B$9:$E$108,2,FALSE)," ")</f>
        <v>Barcelona, Spain</v>
      </c>
      <c r="G28" s="110" t="str">
        <f>IFERROR(VLOOKUP(G27,Itinerary!$B$9:$E$108,2,FALSE)," ")</f>
        <v>Barcelona, Spain</v>
      </c>
      <c r="H28" s="110" t="str">
        <f>IFERROR(VLOOKUP(H27,Itinerary!$B$9:$E$108,2,FALSE)," ")</f>
        <v>Mallorca, Spain</v>
      </c>
    </row>
    <row r="29" spans="1:10" s="124" customFormat="1" x14ac:dyDescent="0.35">
      <c r="B29" s="125" t="str">
        <f>IFERROR(VLOOKUP(B27,Itinerary!$B$9:$E$108,3,FALSE)," ")</f>
        <v xml:space="preserve"> </v>
      </c>
      <c r="C29" s="125" t="str">
        <f>IFERROR(VLOOKUP(C27,Itinerary!$B$9:$E$108,3,FALSE)," ")</f>
        <v xml:space="preserve"> </v>
      </c>
      <c r="D29" s="125" t="str">
        <f>IFERROR(VLOOKUP(D27,Itinerary!$B$9:$E$108,3,FALSE)," ")</f>
        <v xml:space="preserve"> </v>
      </c>
      <c r="E29" s="125" t="str">
        <f>IFERROR(VLOOKUP(E27,Itinerary!$B$9:$E$108,3,FALSE)," ")</f>
        <v xml:space="preserve"> </v>
      </c>
      <c r="F29" s="125" t="str">
        <f>IFERROR(VLOOKUP(F27,Itinerary!$B$9:$E$108,3,FALSE)," ")</f>
        <v>TOC Hostel Barcelona</v>
      </c>
      <c r="G29" s="125" t="str">
        <f>IFERROR(VLOOKUP(G27,Itinerary!$B$9:$E$108,3,FALSE)," ")</f>
        <v>TOC Hostel Barcelona</v>
      </c>
      <c r="H29" s="125" t="str">
        <f>IFERROR(VLOOKUP(H27,Itinerary!$B$9:$E$108,3,FALSE)," ")</f>
        <v>El  Josemari</v>
      </c>
    </row>
    <row r="30" spans="1:10" s="138" customFormat="1" x14ac:dyDescent="0.35">
      <c r="B30" s="143" t="str">
        <f>IFERROR(IF(VLOOKUP(B27,Itinerary!$B$9:$E$108,4,FALSE)="Yes","TRAVEL DAY"," ")," ")</f>
        <v xml:space="preserve"> </v>
      </c>
      <c r="C30" s="143" t="str">
        <f>IFERROR(IF(VLOOKUP(C27,Itinerary!$B$9:$E$108,4,FALSE)="Yes","TRAVEL DAY"," ")," ")</f>
        <v xml:space="preserve"> </v>
      </c>
      <c r="D30" s="143" t="str">
        <f>IFERROR(IF(VLOOKUP(D27,Itinerary!$B$9:$E$108,4,FALSE)="Yes","TRAVEL DAY"," ")," ")</f>
        <v xml:space="preserve"> </v>
      </c>
      <c r="E30" s="143" t="str">
        <f>IFERROR(IF(VLOOKUP(E27,Itinerary!$B$9:$E$108,4,FALSE)="Yes","TRAVEL DAY"," ")," ")</f>
        <v xml:space="preserve"> </v>
      </c>
      <c r="F30" s="143" t="str">
        <f>IFERROR(IF(VLOOKUP(F27,Itinerary!$B$9:$E$108,4,FALSE)="Yes","TRAVEL DAY"," ")," ")</f>
        <v>TRAVEL DAY</v>
      </c>
      <c r="G30" s="143" t="str">
        <f>IFERROR(IF(VLOOKUP(G27,Itinerary!$B$9:$E$108,4,FALSE)="Yes","TRAVEL DAY"," ")," ")</f>
        <v xml:space="preserve"> </v>
      </c>
      <c r="H30" s="143" t="str">
        <f>IFERROR(IF(VLOOKUP(H27,Itinerary!$B$9:$E$108,4,FALSE)="Yes","TRAVEL DAY"," ")," ")</f>
        <v>TRAVEL DAY</v>
      </c>
    </row>
    <row r="31" spans="1:10" ht="58.25" customHeight="1" thickBot="1" x14ac:dyDescent="0.4">
      <c r="B31" s="40" t="str" cm="1">
        <f t="array" ref="B31">IFERROR(_xlfn.IFS($B$8="Travel Plan",VLOOKUP(B27,Table2[],5,FALSE),$B$8="Day Plan/Activities",VLOOKUP(B27,Table2[],6,FALSE),$B$8="Today's Budget",VLOOKUP(B27,Table2[],7,FALSE),$B$8="Notes",VLOOKUP(B27,Table2[],8,FALSE))," ")</f>
        <v xml:space="preserve"> </v>
      </c>
      <c r="C31" s="40" t="str" cm="1">
        <f t="array" ref="C31">IFERROR(_xlfn.IFS($B$8="Travel Plan",VLOOKUP(C27,Table2[],5,FALSE),$B$8="Day Plan/Activities",VLOOKUP(C27,Table2[],6,FALSE),$B$8="Today's Budget",VLOOKUP(C27,Table2[],7,FALSE),$B$8="Notes",VLOOKUP(C27,Table2[],8,FALSE))," ")</f>
        <v xml:space="preserve"> </v>
      </c>
      <c r="D31" s="40" t="str" cm="1">
        <f t="array" ref="D31">IFERROR(_xlfn.IFS($B$8="Travel Plan",VLOOKUP(D27,Table2[],5,FALSE),$B$8="Day Plan/Activities",VLOOKUP(D27,Table2[],6,FALSE),$B$8="Today's Budget",VLOOKUP(D27,Table2[],7,FALSE),$B$8="Notes",VLOOKUP(D27,Table2[],8,FALSE))," ")</f>
        <v xml:space="preserve"> </v>
      </c>
      <c r="E31" s="40" t="str" cm="1">
        <f t="array" ref="E31">IFERROR(_xlfn.IFS($B$8="Travel Plan",VLOOKUP(E27,Table2[],5,FALSE),$B$8="Day Plan/Activities",VLOOKUP(E27,Table2[],6,FALSE),$B$8="Today's Budget",VLOOKUP(E27,Table2[],7,FALSE),$B$8="Notes",VLOOKUP(E27,Table2[],8,FALSE))," ")</f>
        <v xml:space="preserve"> </v>
      </c>
      <c r="F31" s="304" cm="1">
        <f t="array" ref="F31">IFERROR(_xlfn.IFS($B$8="Travel Plan",VLOOKUP(F27,Table2[],5,FALSE),$B$8="Day Plan/Activities",VLOOKUP(F27,Table2[],6,FALSE),$B$8="Today's Budget",VLOOKUP(F27,Table2[],7,FALSE),$B$8="Notes",VLOOKUP(F27,Table2[],8,FALSE))," ")</f>
        <v>0</v>
      </c>
      <c r="G31" s="305" t="str" cm="1">
        <f t="array" ref="G31">IFERROR(_xlfn.IFS($B$8="Travel Plan",VLOOKUP(G27,Table2[],5,FALSE),$B$8="Day Plan/Activities",VLOOKUP(G27,Table2[],6,FALSE),$B$8="Today's Budget",VLOOKUP(G27,Table2[],7,FALSE),$B$8="Notes",VLOOKUP(G27,Table2[],8,FALSE))," ")</f>
        <v>See all Gaudi Architecture</v>
      </c>
      <c r="H31" s="305" cm="1">
        <f t="array" ref="H31">IFERROR(_xlfn.IFS($B$8="Travel Plan",VLOOKUP(H27,Table2[],5,FALSE),$B$8="Day Plan/Activities",VLOOKUP(H27,Table2[],6,FALSE),$B$8="Today's Budget",VLOOKUP(H27,Table2[],7,FALSE),$B$8="Notes",VLOOKUP(H27,Table2[],8,FALSE))," ")</f>
        <v>0</v>
      </c>
    </row>
    <row r="32" spans="1:10" s="32" customFormat="1" ht="19.5" customHeight="1" x14ac:dyDescent="0.35">
      <c r="A32" s="24"/>
      <c r="B32" s="39">
        <f>'Itinerary-CODE'!B8</f>
        <v>45074</v>
      </c>
      <c r="C32" s="39">
        <f>'Itinerary-CODE'!C8</f>
        <v>45075</v>
      </c>
      <c r="D32" s="39">
        <f>'Itinerary-CODE'!D8</f>
        <v>45076</v>
      </c>
      <c r="E32" s="39">
        <f>'Itinerary-CODE'!E8</f>
        <v>45077</v>
      </c>
      <c r="F32" s="39" t="str">
        <f>'Itinerary-CODE'!F8</f>
        <v/>
      </c>
      <c r="G32" s="39" t="str">
        <f>'Itinerary-CODE'!G8</f>
        <v/>
      </c>
      <c r="H32" s="39" t="str">
        <f>'Itinerary-CODE'!H8</f>
        <v/>
      </c>
    </row>
    <row r="33" spans="1:8" s="32" customFormat="1" x14ac:dyDescent="0.35">
      <c r="A33" s="24"/>
      <c r="B33" s="111" t="str">
        <f>IFERROR(VLOOKUP(B32,Itinerary!$B$9:$E$108,2,FALSE)," ")</f>
        <v>Mallorca, Spain</v>
      </c>
      <c r="C33" s="111" t="str">
        <f>IFERROR(VLOOKUP(C32,Itinerary!$B$9:$E$108,2,FALSE)," ")</f>
        <v>Mallorca, Spain</v>
      </c>
      <c r="D33" s="111" t="str">
        <f>IFERROR(VLOOKUP(D32,Itinerary!$B$9:$E$108,2,FALSE)," ")</f>
        <v>Mallorca, Spain</v>
      </c>
      <c r="E33" s="111" t="str">
        <f>IFERROR(VLOOKUP(E32,Itinerary!$B$9:$E$108,2,FALSE)," ")</f>
        <v>Ibiza, Spain</v>
      </c>
      <c r="F33" s="111" t="str">
        <f>IFERROR(VLOOKUP(F32,Itinerary!$B$9:$E$108,2,FALSE)," ")</f>
        <v xml:space="preserve"> </v>
      </c>
      <c r="G33" s="111" t="str">
        <f>IFERROR(VLOOKUP(G32,Itinerary!$B$9:$E$108,2,FALSE)," ")</f>
        <v xml:space="preserve"> </v>
      </c>
      <c r="H33" s="111" t="str">
        <f>IFERROR(VLOOKUP(H32,Itinerary!$B$9:$E$108,2,FALSE)," ")</f>
        <v xml:space="preserve"> </v>
      </c>
    </row>
    <row r="34" spans="1:8" s="124" customFormat="1" x14ac:dyDescent="0.35">
      <c r="B34" s="126" t="str">
        <f>IFERROR(VLOOKUP(B32,Itinerary!$B$9:$E$108,3,FALSE)," ")</f>
        <v>El  Josemari</v>
      </c>
      <c r="C34" s="126" t="str">
        <f>IFERROR(VLOOKUP(C32,Itinerary!$B$9:$E$108,3,FALSE)," ")</f>
        <v>El  Josemari</v>
      </c>
      <c r="D34" s="126" t="str">
        <f>IFERROR(VLOOKUP(D32,Itinerary!$B$9:$E$108,3,FALSE)," ")</f>
        <v>El  Josemari</v>
      </c>
      <c r="E34" s="126" t="str">
        <f>IFERROR(VLOOKUP(E32,Itinerary!$B$9:$E$108,3,FALSE)," ")</f>
        <v>Amistat Ibiza</v>
      </c>
      <c r="F34" s="126" t="str">
        <f>IFERROR(VLOOKUP(F32,Itinerary!$B$9:$E$108,3,FALSE)," ")</f>
        <v xml:space="preserve"> </v>
      </c>
      <c r="G34" s="126" t="str">
        <f>IFERROR(VLOOKUP(G32,Itinerary!$B$9:$E$108,3,FALSE)," ")</f>
        <v xml:space="preserve"> </v>
      </c>
      <c r="H34" s="126" t="str">
        <f>IFERROR(VLOOKUP(H32,Itinerary!$B$9:$E$108,3,FALSE)," ")</f>
        <v xml:space="preserve"> </v>
      </c>
    </row>
    <row r="35" spans="1:8" s="138" customFormat="1" x14ac:dyDescent="0.35">
      <c r="B35" s="139" t="str">
        <f>IFERROR(IF(VLOOKUP(B32,Itinerary!$B$9:$E$108,4,FALSE)="Yes","TRAVEL DAY"," ")," ")</f>
        <v xml:space="preserve"> </v>
      </c>
      <c r="C35" s="139" t="str">
        <f>IFERROR(IF(VLOOKUP(C32,Itinerary!$B$9:$E$108,4,FALSE)="Yes","TRAVEL DAY"," ")," ")</f>
        <v xml:space="preserve"> </v>
      </c>
      <c r="D35" s="139" t="str">
        <f>IFERROR(IF(VLOOKUP(D32,Itinerary!$B$9:$E$108,4,FALSE)="Yes","TRAVEL DAY"," ")," ")</f>
        <v xml:space="preserve"> </v>
      </c>
      <c r="E35" s="139" t="str">
        <f>IFERROR(IF(VLOOKUP(E32,Itinerary!$B$9:$E$108,4,FALSE)="Yes","TRAVEL DAY"," ")," ")</f>
        <v>TRAVEL DAY</v>
      </c>
      <c r="F35" s="139" t="str">
        <f>IFERROR(IF(VLOOKUP(F32,Itinerary!$B$9:$E$108,4,FALSE)="Yes","TRAVEL DAY"," ")," ")</f>
        <v xml:space="preserve"> </v>
      </c>
      <c r="G35" s="139" t="str">
        <f>IFERROR(IF(VLOOKUP(G32,Itinerary!$B$9:$E$108,4,FALSE)="Yes","TRAVEL DAY"," ")," ")</f>
        <v xml:space="preserve"> </v>
      </c>
      <c r="H35" s="139" t="str">
        <f>IFERROR(IF(VLOOKUP(H32,Itinerary!$B$9:$E$108,4,FALSE)="Yes","TRAVEL DAY"," ")," ")</f>
        <v xml:space="preserve"> </v>
      </c>
    </row>
    <row r="36" spans="1:8" ht="58.25" customHeight="1" thickBot="1" x14ac:dyDescent="0.4">
      <c r="B36" s="131" cm="1">
        <f t="array" ref="B36">IFERROR(_xlfn.IFS($B$8="Travel Plan",VLOOKUP(B32,Table2[],5,FALSE),$B$8="Day Plan/Activities",VLOOKUP(B32,Table2[],6,FALSE),$B$8="Today's Budget",VLOOKUP(B32,Table2[],7,FALSE),$B$8="Notes",VLOOKUP(B32,Table2[],8,FALSE))," ")</f>
        <v>0</v>
      </c>
      <c r="C36" s="131" t="str" cm="1">
        <f t="array" ref="C36">IFERROR(_xlfn.IFS($B$8="Travel Plan",VLOOKUP(C32,Table2[],5,FALSE),$B$8="Day Plan/Activities",VLOOKUP(C32,Table2[],6,FALSE),$B$8="Today's Budget",VLOOKUP(C32,Table2[],7,FALSE),$B$8="Notes",VLOOKUP(C32,Table2[],8,FALSE))," ")</f>
        <v>Day trip to Menorca</v>
      </c>
      <c r="D36" s="131" cm="1">
        <f t="array" ref="D36">IFERROR(_xlfn.IFS($B$8="Travel Plan",VLOOKUP(D32,Table2[],5,FALSE),$B$8="Day Plan/Activities",VLOOKUP(D32,Table2[],6,FALSE),$B$8="Today's Budget",VLOOKUP(D32,Table2[],7,FALSE),$B$8="Notes",VLOOKUP(D32,Table2[],8,FALSE))," ")</f>
        <v>0</v>
      </c>
      <c r="E36" s="131" cm="1">
        <f t="array" ref="E36">IFERROR(_xlfn.IFS($B$8="Travel Plan",VLOOKUP(E32,Table2[],5,FALSE),$B$8="Day Plan/Activities",VLOOKUP(E32,Table2[],6,FALSE),$B$8="Today's Budget",VLOOKUP(E32,Table2[],7,FALSE),$B$8="Notes",VLOOKUP(E32,Table2[],8,FALSE))," ")</f>
        <v>0</v>
      </c>
      <c r="F36" s="131" t="str" cm="1">
        <f t="array" ref="F36">IFERROR(_xlfn.IFS($B$8="Travel Plan",VLOOKUP(F32,Table2[],5,FALSE),$B$8="Day Plan/Activities",VLOOKUP(F32,Table2[],6,FALSE),$B$8="Today's Budget",VLOOKUP(F32,Table2[],7,FALSE),$B$8="Notes",VLOOKUP(F32,Table2[],8,FALSE))," ")</f>
        <v xml:space="preserve"> </v>
      </c>
      <c r="G36" s="131" t="str" cm="1">
        <f t="array" ref="G36">IFERROR(_xlfn.IFS($B$8="Travel Plan",VLOOKUP(G32,Table2[],5,FALSE),$B$8="Day Plan/Activities",VLOOKUP(G32,Table2[],6,FALSE),$B$8="Today's Budget",VLOOKUP(G32,Table2[],7,FALSE),$B$8="Notes",VLOOKUP(G32,Table2[],8,FALSE))," ")</f>
        <v xml:space="preserve"> </v>
      </c>
      <c r="H36" s="131" t="str" cm="1">
        <f t="array" ref="H36">IFERROR(_xlfn.IFS($B$8="Travel Plan",VLOOKUP(H32,Table2[],5,FALSE),$B$8="Day Plan/Activities",VLOOKUP(H32,Table2[],6,FALSE),$B$8="Today's Budget",VLOOKUP(H32,Table2[],7,FALSE),$B$8="Notes",VLOOKUP(H32,Table2[],8,FALSE))," ")</f>
        <v xml:space="preserve"> </v>
      </c>
    </row>
    <row r="37" spans="1:8" s="32" customFormat="1" ht="19.5" customHeight="1" x14ac:dyDescent="0.35">
      <c r="A37" s="24"/>
      <c r="B37" s="41" t="str">
        <f>'Itinerary-CODE'!B9</f>
        <v/>
      </c>
      <c r="C37" s="41" t="str">
        <f>'Itinerary-CODE'!C9</f>
        <v/>
      </c>
      <c r="D37" s="112"/>
      <c r="E37" s="256" t="s">
        <v>36</v>
      </c>
      <c r="F37" s="256"/>
      <c r="G37" s="256"/>
      <c r="H37" s="257"/>
    </row>
    <row r="38" spans="1:8" s="32" customFormat="1" x14ac:dyDescent="0.35">
      <c r="A38" s="24"/>
      <c r="B38" s="110" t="str">
        <f>IFERROR(VLOOKUP(B37,Itinerary!$B$9:$E$108,2,FALSE)," ")</f>
        <v xml:space="preserve"> </v>
      </c>
      <c r="C38" s="110" t="str">
        <f>IFERROR(VLOOKUP(C37,Itinerary!$B$9:$E$108,2,FALSE)," ")</f>
        <v xml:space="preserve"> </v>
      </c>
      <c r="D38" s="110" t="str">
        <f>IFERROR(VLOOKUP(D37,Itinerary!$B$9:$E$108,2,FALSE)," ")</f>
        <v xml:space="preserve"> </v>
      </c>
      <c r="E38" s="258"/>
      <c r="F38" s="258"/>
      <c r="G38" s="258"/>
      <c r="H38" s="259"/>
    </row>
    <row r="39" spans="1:8" s="124" customFormat="1" x14ac:dyDescent="0.35">
      <c r="B39" s="125"/>
      <c r="C39" s="125"/>
      <c r="D39" s="127"/>
      <c r="E39" s="258"/>
      <c r="F39" s="258"/>
      <c r="G39" s="258"/>
      <c r="H39" s="259"/>
    </row>
    <row r="40" spans="1:8" s="138" customFormat="1" x14ac:dyDescent="0.35">
      <c r="B40" s="143" t="str">
        <f>IFERROR(IF(VLOOKUP(B37,Itinerary!$B$9:$E$108,4,FALSE)="Yes","TRAVEL DAY"," ")," ")</f>
        <v xml:space="preserve"> </v>
      </c>
      <c r="C40" s="143" t="str">
        <f>IFERROR(IF(VLOOKUP(C37,Itinerary!$B$9:$E$108,4,FALSE)="Yes","TRAVEL DAY"," ")," ")</f>
        <v xml:space="preserve"> </v>
      </c>
      <c r="D40" s="143" t="str">
        <f>IFERROR(IF(VLOOKUP(D37,Itinerary!$B$9:$E$108,4,FALSE)="Yes","TRAVEL DAY"," ")," ")</f>
        <v xml:space="preserve"> </v>
      </c>
      <c r="E40" s="258"/>
      <c r="F40" s="258"/>
      <c r="G40" s="258"/>
      <c r="H40" s="259"/>
    </row>
    <row r="41" spans="1:8" ht="58.25" customHeight="1" thickBot="1" x14ac:dyDescent="0.4">
      <c r="B41" s="40"/>
      <c r="C41" s="40"/>
      <c r="D41" s="113"/>
      <c r="E41" s="260"/>
      <c r="F41" s="260"/>
      <c r="G41" s="260"/>
      <c r="H41" s="261"/>
    </row>
    <row r="42" spans="1:8" ht="45.5" thickBot="1" x14ac:dyDescent="0.6">
      <c r="A42" s="98"/>
      <c r="B42" s="262" t="str" cm="1">
        <f t="array" ref="B42">(_xlfn.IFS(DreamStartMonth2=1,"January ",DreamStartMonth2=2,"February ",DreamStartMonth2=3,"March ",DreamStartMonth2=4,"April ",DreamStartMonth2=5,"May ",DreamStartMonth2=6,"June ",DreamStartMonth2=7,"July ",DreamStartMonth2=8,"August ",DreamStartMonth2=9,"September ",DreamStartMonth2=10,"October ",DreamStartMonth2=11,"November ",DreamStartMonth2=12,"December "))&amp;YEAR(B49)</f>
        <v>June 2023</v>
      </c>
      <c r="C42" s="262"/>
      <c r="D42" s="262"/>
      <c r="E42" s="99"/>
      <c r="F42" s="99"/>
      <c r="G42" s="99"/>
      <c r="H42" s="100"/>
    </row>
    <row r="43" spans="1:8" ht="21.5" customHeight="1" thickBot="1" x14ac:dyDescent="0.4">
      <c r="A43" s="98"/>
      <c r="B43" s="97" t="s">
        <v>24</v>
      </c>
      <c r="C43" s="36" t="s">
        <v>23</v>
      </c>
      <c r="D43" s="97" t="s">
        <v>25</v>
      </c>
      <c r="E43" s="36" t="s">
        <v>26</v>
      </c>
      <c r="F43" s="97" t="s">
        <v>27</v>
      </c>
      <c r="G43" s="36" t="s">
        <v>28</v>
      </c>
      <c r="H43" s="97" t="s">
        <v>29</v>
      </c>
    </row>
    <row r="44" spans="1:8" x14ac:dyDescent="0.35">
      <c r="A44" s="98"/>
      <c r="B44" s="39" t="str">
        <f>'Itinerary-CODE'!B10</f>
        <v/>
      </c>
      <c r="C44" s="39" t="str">
        <f>'Itinerary-CODE'!C10</f>
        <v/>
      </c>
      <c r="D44" s="39" t="str">
        <f>'Itinerary-CODE'!D10</f>
        <v/>
      </c>
      <c r="E44" s="39" t="str">
        <f>'Itinerary-CODE'!E10</f>
        <v/>
      </c>
      <c r="F44" s="39">
        <f>'Itinerary-CODE'!F10</f>
        <v>45078</v>
      </c>
      <c r="G44" s="39">
        <f>'Itinerary-CODE'!G10</f>
        <v>45079</v>
      </c>
      <c r="H44" s="39">
        <f>'Itinerary-CODE'!H10</f>
        <v>45080</v>
      </c>
    </row>
    <row r="45" spans="1:8" x14ac:dyDescent="0.35">
      <c r="A45" s="98"/>
      <c r="B45" s="111" t="str">
        <f>IFERROR(VLOOKUP(B44,Itinerary!$B$9:$E$108,2,FALSE)," ")</f>
        <v xml:space="preserve"> </v>
      </c>
      <c r="C45" s="111" t="str">
        <f>IFERROR(VLOOKUP(C44,Itinerary!$B$9:$E$108,2,FALSE)," ")</f>
        <v xml:space="preserve"> </v>
      </c>
      <c r="D45" s="111" t="str">
        <f>IFERROR(VLOOKUP(D44,Itinerary!$B$9:$E$108,2,FALSE)," ")</f>
        <v xml:space="preserve"> </v>
      </c>
      <c r="E45" s="111" t="str">
        <f>IFERROR(VLOOKUP(E44,Itinerary!$B$9:$E$108,2,FALSE)," ")</f>
        <v xml:space="preserve"> </v>
      </c>
      <c r="F45" s="111" t="str">
        <f>IFERROR(VLOOKUP(F44,Itinerary!$B$9:$E$108,2,FALSE)," ")</f>
        <v>Ibiza, Spain</v>
      </c>
      <c r="G45" s="111" t="str">
        <f>IFERROR(VLOOKUP(G44,Itinerary!$B$9:$E$108,2,FALSE)," ")</f>
        <v>Barcelona, Spain</v>
      </c>
      <c r="H45" s="111" t="str">
        <f>IFERROR(VLOOKUP(H44,Itinerary!$B$9:$E$108,2,FALSE)," ")</f>
        <v xml:space="preserve"> </v>
      </c>
    </row>
    <row r="46" spans="1:8" s="124" customFormat="1" x14ac:dyDescent="0.35">
      <c r="A46" s="129"/>
      <c r="B46" s="126" t="str">
        <f>IFERROR(VLOOKUP(B44,Itinerary!$B$9:$E$108,3,FALSE)," ")</f>
        <v xml:space="preserve"> </v>
      </c>
      <c r="C46" s="126" t="str">
        <f>IFERROR(VLOOKUP(C44,Itinerary!$B$9:$E$108,3,FALSE)," ")</f>
        <v xml:space="preserve"> </v>
      </c>
      <c r="D46" s="126" t="str">
        <f>IFERROR(VLOOKUP(D44,Itinerary!$B$9:$E$108,3,FALSE)," ")</f>
        <v xml:space="preserve"> </v>
      </c>
      <c r="E46" s="126" t="str">
        <f>IFERROR(VLOOKUP(E44,Itinerary!$B$9:$E$108,3,FALSE)," ")</f>
        <v xml:space="preserve"> </v>
      </c>
      <c r="F46" s="126" t="str">
        <f>IFERROR(VLOOKUP(F44,Itinerary!$B$9:$E$108,3,FALSE)," ")</f>
        <v>Amistat Ibiza</v>
      </c>
      <c r="G46" s="126" t="str">
        <f>IFERROR(VLOOKUP(G44,Itinerary!$B$9:$E$108,3,FALSE)," ")</f>
        <v xml:space="preserve"> </v>
      </c>
      <c r="H46" s="126" t="str">
        <f>IFERROR(VLOOKUP(H44,Itinerary!$B$9:$E$108,3,FALSE)," ")</f>
        <v xml:space="preserve"> </v>
      </c>
    </row>
    <row r="47" spans="1:8" s="138" customFormat="1" x14ac:dyDescent="0.35">
      <c r="A47" s="140"/>
      <c r="B47" s="139" t="str">
        <f>IFERROR(IF(VLOOKUP(B44,Itinerary!$B$9:$E$108,4,FALSE)="Yes","TRAVEL DAY"," ")," ")</f>
        <v xml:space="preserve"> </v>
      </c>
      <c r="C47" s="139" t="str">
        <f>IFERROR(IF(VLOOKUP(C44,Itinerary!$B$9:$E$108,4,FALSE)="Yes","TRAVEL DAY"," ")," ")</f>
        <v xml:space="preserve"> </v>
      </c>
      <c r="D47" s="139" t="str">
        <f>IFERROR(IF(VLOOKUP(D44,Itinerary!$B$9:$E$108,4,FALSE)="Yes","TRAVEL DAY"," ")," ")</f>
        <v xml:space="preserve"> </v>
      </c>
      <c r="E47" s="139" t="str">
        <f>IFERROR(IF(VLOOKUP(E44,Itinerary!$B$9:$E$108,4,FALSE)="Yes","TRAVEL DAY"," ")," ")</f>
        <v xml:space="preserve"> </v>
      </c>
      <c r="F47" s="139" t="str">
        <f>IFERROR(IF(VLOOKUP(F44,Itinerary!$B$9:$E$108,4,FALSE)="Yes","TRAVEL DAY"," ")," ")</f>
        <v xml:space="preserve"> </v>
      </c>
      <c r="G47" s="139" t="str">
        <f>IFERROR(IF(VLOOKUP(G44,Itinerary!$B$9:$E$108,4,FALSE)="Yes","TRAVEL DAY"," ")," ")</f>
        <v>TRAVEL DAY</v>
      </c>
      <c r="H47" s="139" t="str">
        <f>IFERROR(IF(VLOOKUP(H44,Itinerary!$B$9:$E$108,4,FALSE)="Yes","TRAVEL DAY"," ")," ")</f>
        <v>TRAVEL DAY</v>
      </c>
    </row>
    <row r="48" spans="1:8" ht="58.25" customHeight="1" thickBot="1" x14ac:dyDescent="0.4">
      <c r="A48" s="98"/>
      <c r="B48" s="131" t="str" cm="1">
        <f t="array" ref="B48">IFERROR(_xlfn.IFS($B$8="Travel Plan",VLOOKUP(B44,Table2[],5,FALSE),$B$8="Day Plan/Activities",VLOOKUP(B44,Table2[],6,FALSE),$B$8="Today's Budget",VLOOKUP(B44,Table2[],7,FALSE),$B$8="Notes",VLOOKUP(B44,Table2[],8,FALSE))," ")</f>
        <v xml:space="preserve"> </v>
      </c>
      <c r="C48" s="131" t="str" cm="1">
        <f t="array" ref="C48">IFERROR(_xlfn.IFS($B$8="Travel Plan",VLOOKUP(C44,Table2[],5,FALSE),$B$8="Day Plan/Activities",VLOOKUP(C44,Table2[],6,FALSE),$B$8="Today's Budget",VLOOKUP(C44,Table2[],7,FALSE),$B$8="Notes",VLOOKUP(C44,Table2[],8,FALSE))," ")</f>
        <v xml:space="preserve"> </v>
      </c>
      <c r="D48" s="131" t="str" cm="1">
        <f t="array" ref="D48">IFERROR(_xlfn.IFS($B$8="Travel Plan",VLOOKUP(D44,Table2[],5,FALSE),$B$8="Day Plan/Activities",VLOOKUP(D44,Table2[],6,FALSE),$B$8="Today's Budget",VLOOKUP(D44,Table2[],7,FALSE),$B$8="Notes",VLOOKUP(D44,Table2[],8,FALSE))," ")</f>
        <v xml:space="preserve"> </v>
      </c>
      <c r="E48" s="131" t="str" cm="1">
        <f t="array" ref="E48">IFERROR(_xlfn.IFS($B$8="Travel Plan",VLOOKUP(E44,Table2[],5,FALSE),$B$8="Day Plan/Activities",VLOOKUP(E44,Table2[],6,FALSE),$B$8="Today's Budget",VLOOKUP(E44,Table2[],7,FALSE),$B$8="Notes",VLOOKUP(E44,Table2[],8,FALSE))," ")</f>
        <v xml:space="preserve"> </v>
      </c>
      <c r="F48" s="131" cm="1">
        <f t="array" ref="F48">IFERROR(_xlfn.IFS($B$8="Travel Plan",VLOOKUP(F44,Table2[],5,FALSE),$B$8="Day Plan/Activities",VLOOKUP(F44,Table2[],6,FALSE),$B$8="Today's Budget",VLOOKUP(F44,Table2[],7,FALSE),$B$8="Notes",VLOOKUP(F44,Table2[],8,FALSE))," ")</f>
        <v>0</v>
      </c>
      <c r="G48" s="131" cm="1">
        <f t="array" ref="G48">IFERROR(_xlfn.IFS($B$8="Travel Plan",VLOOKUP(G44,Table2[],5,FALSE),$B$8="Day Plan/Activities",VLOOKUP(G44,Table2[],6,FALSE),$B$8="Today's Budget",VLOOKUP(G44,Table2[],7,FALSE),$B$8="Notes",VLOOKUP(G44,Table2[],8,FALSE))," ")</f>
        <v>0</v>
      </c>
      <c r="H48" s="131" cm="1">
        <f t="array" ref="H48">IFERROR(_xlfn.IFS($B$8="Travel Plan",VLOOKUP(H44,Table2[],5,FALSE),$B$8="Day Plan/Activities",VLOOKUP(H44,Table2[],6,FALSE),$B$8="Today's Budget",VLOOKUP(H44,Table2[],7,FALSE),$B$8="Notes",VLOOKUP(H44,Table2[],8,FALSE))," ")</f>
        <v>0</v>
      </c>
    </row>
    <row r="49" spans="1:8" x14ac:dyDescent="0.35">
      <c r="A49" s="98"/>
      <c r="B49" s="105">
        <f>'Itinerary-CODE'!B11</f>
        <v>45081</v>
      </c>
      <c r="C49" s="105">
        <f>'Itinerary-CODE'!C11</f>
        <v>45082</v>
      </c>
      <c r="D49" s="105">
        <f>'Itinerary-CODE'!D11</f>
        <v>45083</v>
      </c>
      <c r="E49" s="105">
        <f>'Itinerary-CODE'!E11</f>
        <v>45084</v>
      </c>
      <c r="F49" s="105">
        <f>'Itinerary-CODE'!F11</f>
        <v>45085</v>
      </c>
      <c r="G49" s="105">
        <f>'Itinerary-CODE'!G11</f>
        <v>45086</v>
      </c>
      <c r="H49" s="105">
        <f>'Itinerary-CODE'!H11</f>
        <v>45087</v>
      </c>
    </row>
    <row r="50" spans="1:8" x14ac:dyDescent="0.35">
      <c r="A50" s="98"/>
      <c r="B50" s="110" t="str">
        <f>IFERROR(VLOOKUP(B49,Itinerary!$B$9:$E$108,2,FALSE)," ")</f>
        <v xml:space="preserve"> </v>
      </c>
      <c r="C50" s="110" t="str">
        <f>IFERROR(VLOOKUP(C49,Itinerary!$B$9:$E$108,2,FALSE)," ")</f>
        <v xml:space="preserve"> </v>
      </c>
      <c r="D50" s="110" t="str">
        <f>IFERROR(VLOOKUP(D49,Itinerary!$B$9:$E$108,2,FALSE)," ")</f>
        <v xml:space="preserve"> </v>
      </c>
      <c r="E50" s="110" t="str">
        <f>IFERROR(VLOOKUP(E49,Itinerary!$B$9:$E$108,2,FALSE)," ")</f>
        <v xml:space="preserve"> </v>
      </c>
      <c r="F50" s="110" t="str">
        <f>IFERROR(VLOOKUP(F49,Itinerary!$B$9:$E$108,2,FALSE)," ")</f>
        <v xml:space="preserve"> </v>
      </c>
      <c r="G50" s="110" t="str">
        <f>IFERROR(VLOOKUP(G49,Itinerary!$B$9:$E$108,2,FALSE)," ")</f>
        <v xml:space="preserve"> </v>
      </c>
      <c r="H50" s="110" t="str">
        <f>IFERROR(VLOOKUP(H49,Itinerary!$B$9:$E$108,2,FALSE)," ")</f>
        <v xml:space="preserve"> </v>
      </c>
    </row>
    <row r="51" spans="1:8" s="124" customFormat="1" x14ac:dyDescent="0.35">
      <c r="A51" s="129"/>
      <c r="B51" s="125" t="str">
        <f>IFERROR(VLOOKUP(B49,Itinerary!$B$9:$E$108,3,FALSE)," ")</f>
        <v xml:space="preserve"> </v>
      </c>
      <c r="C51" s="125" t="str">
        <f>IFERROR(VLOOKUP(C49,Itinerary!$B$9:$E$108,3,FALSE)," ")</f>
        <v xml:space="preserve"> </v>
      </c>
      <c r="D51" s="125" t="str">
        <f>IFERROR(VLOOKUP(D49,Itinerary!$B$9:$E$108,3,FALSE)," ")</f>
        <v xml:space="preserve"> </v>
      </c>
      <c r="E51" s="125" t="str">
        <f>IFERROR(VLOOKUP(E49,Itinerary!$B$9:$E$108,3,FALSE)," ")</f>
        <v xml:space="preserve"> </v>
      </c>
      <c r="F51" s="125" t="str">
        <f>IFERROR(VLOOKUP(F49,Itinerary!$B$9:$E$108,3,FALSE)," ")</f>
        <v xml:space="preserve"> </v>
      </c>
      <c r="G51" s="125" t="str">
        <f>IFERROR(VLOOKUP(G49,Itinerary!$B$9:$E$108,3,FALSE)," ")</f>
        <v xml:space="preserve"> </v>
      </c>
      <c r="H51" s="125" t="str">
        <f>IFERROR(VLOOKUP(H49,Itinerary!$B$9:$E$108,3,FALSE)," ")</f>
        <v xml:space="preserve"> </v>
      </c>
    </row>
    <row r="52" spans="1:8" s="138" customFormat="1" x14ac:dyDescent="0.35">
      <c r="A52" s="140"/>
      <c r="B52" s="143" t="str">
        <f>IFERROR(IF(VLOOKUP(B49,Itinerary!$B$9:$E$108,4,FALSE)="Yes","TRAVEL DAY"," ")," ")</f>
        <v xml:space="preserve"> </v>
      </c>
      <c r="C52" s="143" t="str">
        <f>IFERROR(IF(VLOOKUP(C49,Itinerary!$B$9:$E$108,4,FALSE)="Yes","TRAVEL DAY"," ")," ")</f>
        <v xml:space="preserve"> </v>
      </c>
      <c r="D52" s="143" t="str">
        <f>IFERROR(IF(VLOOKUP(D49,Itinerary!$B$9:$E$108,4,FALSE)="Yes","TRAVEL DAY"," ")," ")</f>
        <v xml:space="preserve"> </v>
      </c>
      <c r="E52" s="143" t="str">
        <f>IFERROR(IF(VLOOKUP(E49,Itinerary!$B$9:$E$108,4,FALSE)="Yes","TRAVEL DAY"," ")," ")</f>
        <v xml:space="preserve"> </v>
      </c>
      <c r="F52" s="143" t="str">
        <f>IFERROR(IF(VLOOKUP(F49,Itinerary!$B$9:$E$108,4,FALSE)="Yes","TRAVEL DAY"," ")," ")</f>
        <v xml:space="preserve"> </v>
      </c>
      <c r="G52" s="143" t="str">
        <f>IFERROR(IF(VLOOKUP(G49,Itinerary!$B$9:$E$108,4,FALSE)="Yes","TRAVEL DAY"," ")," ")</f>
        <v xml:space="preserve"> </v>
      </c>
      <c r="H52" s="143" t="str">
        <f>IFERROR(IF(VLOOKUP(H49,Itinerary!$B$9:$E$108,4,FALSE)="Yes","TRAVEL DAY"," ")," ")</f>
        <v xml:space="preserve"> </v>
      </c>
    </row>
    <row r="53" spans="1:8" ht="58.25" customHeight="1" thickBot="1" x14ac:dyDescent="0.4">
      <c r="A53" s="98"/>
      <c r="B53" s="40" cm="1">
        <f t="array" ref="B53">IFERROR(_xlfn.IFS($B$8="Travel Plan",VLOOKUP(B49,Table2[],5,FALSE),$B$8="Day Plan/Activities",VLOOKUP(B49,Table2[],6,FALSE),$B$8="Today's Budget",VLOOKUP(B49,Table2[],7,FALSE),$B$8="Notes",VLOOKUP(B49,Table2[],8,FALSE))," ")</f>
        <v>0</v>
      </c>
      <c r="C53" s="40" cm="1">
        <f t="array" ref="C53">IFERROR(_xlfn.IFS($B$8="Travel Plan",VLOOKUP(C49,Table2[],5,FALSE),$B$8="Day Plan/Activities",VLOOKUP(C49,Table2[],6,FALSE),$B$8="Today's Budget",VLOOKUP(C49,Table2[],7,FALSE),$B$8="Notes",VLOOKUP(C49,Table2[],8,FALSE))," ")</f>
        <v>0</v>
      </c>
      <c r="D53" s="40" cm="1">
        <f t="array" ref="D53">IFERROR(_xlfn.IFS($B$8="Travel Plan",VLOOKUP(D49,Table2[],5,FALSE),$B$8="Day Plan/Activities",VLOOKUP(D49,Table2[],6,FALSE),$B$8="Today's Budget",VLOOKUP(D49,Table2[],7,FALSE),$B$8="Notes",VLOOKUP(D49,Table2[],8,FALSE))," ")</f>
        <v>0</v>
      </c>
      <c r="E53" s="40" cm="1">
        <f t="array" ref="E53">IFERROR(_xlfn.IFS($B$8="Travel Plan",VLOOKUP(E49,Table2[],5,FALSE),$B$8="Day Plan/Activities",VLOOKUP(E49,Table2[],6,FALSE),$B$8="Today's Budget",VLOOKUP(E49,Table2[],7,FALSE),$B$8="Notes",VLOOKUP(E49,Table2[],8,FALSE))," ")</f>
        <v>0</v>
      </c>
      <c r="F53" s="42" cm="1">
        <f t="array" ref="F53">IFERROR(_xlfn.IFS($B$8="Travel Plan",VLOOKUP(F49,Table2[],5,FALSE),$B$8="Day Plan/Activities",VLOOKUP(F49,Table2[],6,FALSE),$B$8="Today's Budget",VLOOKUP(F49,Table2[],7,FALSE),$B$8="Notes",VLOOKUP(F49,Table2[],8,FALSE))," ")</f>
        <v>0</v>
      </c>
      <c r="G53" s="40" cm="1">
        <f t="array" ref="G53">IFERROR(_xlfn.IFS($B$8="Travel Plan",VLOOKUP(G49,Table2[],5,FALSE),$B$8="Day Plan/Activities",VLOOKUP(G49,Table2[],6,FALSE),$B$8="Today's Budget",VLOOKUP(G49,Table2[],7,FALSE),$B$8="Notes",VLOOKUP(G49,Table2[],8,FALSE))," ")</f>
        <v>0</v>
      </c>
      <c r="H53" s="40" cm="1">
        <f t="array" ref="H53">IFERROR(_xlfn.IFS($B$8="Travel Plan",VLOOKUP(H49,Table2[],5,FALSE),$B$8="Day Plan/Activities",VLOOKUP(H49,Table2[],6,FALSE),$B$8="Today's Budget",VLOOKUP(H49,Table2[],7,FALSE),$B$8="Notes",VLOOKUP(H49,Table2[],8,FALSE))," ")</f>
        <v>0</v>
      </c>
    </row>
    <row r="54" spans="1:8" x14ac:dyDescent="0.35">
      <c r="A54" s="98"/>
      <c r="B54" s="39">
        <f>'Itinerary-CODE'!B12</f>
        <v>45088</v>
      </c>
      <c r="C54" s="39">
        <f>'Itinerary-CODE'!C12</f>
        <v>45089</v>
      </c>
      <c r="D54" s="39">
        <f>'Itinerary-CODE'!D12</f>
        <v>45090</v>
      </c>
      <c r="E54" s="39">
        <f>'Itinerary-CODE'!E12</f>
        <v>45091</v>
      </c>
      <c r="F54" s="39">
        <f>'Itinerary-CODE'!F12</f>
        <v>45092</v>
      </c>
      <c r="G54" s="39">
        <f>'Itinerary-CODE'!G12</f>
        <v>45093</v>
      </c>
      <c r="H54" s="39">
        <f>'Itinerary-CODE'!H12</f>
        <v>45094</v>
      </c>
    </row>
    <row r="55" spans="1:8" x14ac:dyDescent="0.35">
      <c r="A55" s="98"/>
      <c r="B55" s="111" t="str">
        <f>IFERROR(VLOOKUP(B54,Itinerary!$B$9:$E$108,2,FALSE)," ")</f>
        <v xml:space="preserve"> </v>
      </c>
      <c r="C55" s="111" t="str">
        <f>IFERROR(VLOOKUP(C54,Itinerary!$B$9:$E$108,2,FALSE)," ")</f>
        <v xml:space="preserve"> </v>
      </c>
      <c r="D55" s="111" t="str">
        <f>IFERROR(VLOOKUP(D54,Itinerary!$B$9:$E$108,2,FALSE)," ")</f>
        <v xml:space="preserve"> </v>
      </c>
      <c r="E55" s="111" t="str">
        <f>IFERROR(VLOOKUP(E54,Itinerary!$B$9:$E$108,2,FALSE)," ")</f>
        <v xml:space="preserve"> </v>
      </c>
      <c r="F55" s="111" t="str">
        <f>IFERROR(VLOOKUP(F54,Itinerary!$B$9:$E$108,2,FALSE)," ")</f>
        <v xml:space="preserve"> </v>
      </c>
      <c r="G55" s="111" t="str">
        <f>IFERROR(VLOOKUP(G54,Itinerary!$B$9:$E$108,2,FALSE)," ")</f>
        <v xml:space="preserve"> </v>
      </c>
      <c r="H55" s="111" t="str">
        <f>IFERROR(VLOOKUP(H54,Itinerary!$B$9:$E$108,2,FALSE)," ")</f>
        <v xml:space="preserve"> </v>
      </c>
    </row>
    <row r="56" spans="1:8" s="124" customFormat="1" x14ac:dyDescent="0.35">
      <c r="A56" s="129"/>
      <c r="B56" s="126" t="str">
        <f>IFERROR(VLOOKUP(B54,Itinerary!$B$9:$E$108,3,FALSE)," ")</f>
        <v xml:space="preserve"> </v>
      </c>
      <c r="C56" s="126" t="str">
        <f>IFERROR(VLOOKUP(C54,Itinerary!$B$9:$E$108,3,FALSE)," ")</f>
        <v xml:space="preserve"> </v>
      </c>
      <c r="D56" s="126" t="str">
        <f>IFERROR(VLOOKUP(D54,Itinerary!$B$9:$E$108,3,FALSE)," ")</f>
        <v xml:space="preserve"> </v>
      </c>
      <c r="E56" s="126" t="str">
        <f>IFERROR(VLOOKUP(E54,Itinerary!$B$9:$E$108,3,FALSE)," ")</f>
        <v xml:space="preserve"> </v>
      </c>
      <c r="F56" s="126" t="str">
        <f>IFERROR(VLOOKUP(F54,Itinerary!$B$9:$E$108,3,FALSE)," ")</f>
        <v xml:space="preserve"> </v>
      </c>
      <c r="G56" s="126" t="str">
        <f>IFERROR(VLOOKUP(G54,Itinerary!$B$9:$E$108,3,FALSE)," ")</f>
        <v xml:space="preserve"> </v>
      </c>
      <c r="H56" s="126" t="str">
        <f>IFERROR(VLOOKUP(H54,Itinerary!$B$9:$E$108,3,FALSE)," ")</f>
        <v xml:space="preserve"> </v>
      </c>
    </row>
    <row r="57" spans="1:8" s="138" customFormat="1" x14ac:dyDescent="0.35">
      <c r="A57" s="140"/>
      <c r="B57" s="139" t="str">
        <f>IFERROR(IF(VLOOKUP(B54,Itinerary!$B$9:$E$108,4,FALSE)="Yes","TRAVEL DAY"," ")," ")</f>
        <v xml:space="preserve"> </v>
      </c>
      <c r="C57" s="139" t="str">
        <f>IFERROR(IF(VLOOKUP(C54,Itinerary!$B$9:$E$108,4,FALSE)="Yes","TRAVEL DAY"," ")," ")</f>
        <v xml:space="preserve"> </v>
      </c>
      <c r="D57" s="139" t="str">
        <f>IFERROR(IF(VLOOKUP(D54,Itinerary!$B$9:$E$108,4,FALSE)="Yes","TRAVEL DAY"," ")," ")</f>
        <v xml:space="preserve"> </v>
      </c>
      <c r="E57" s="139" t="str">
        <f>IFERROR(IF(VLOOKUP(E54,Itinerary!$B$9:$E$108,4,FALSE)="Yes","TRAVEL DAY"," ")," ")</f>
        <v xml:space="preserve"> </v>
      </c>
      <c r="F57" s="139" t="str">
        <f>IFERROR(IF(VLOOKUP(F54,Itinerary!$B$9:$E$108,4,FALSE)="Yes","TRAVEL DAY"," ")," ")</f>
        <v xml:space="preserve"> </v>
      </c>
      <c r="G57" s="139" t="str">
        <f>IFERROR(IF(VLOOKUP(G54,Itinerary!$B$9:$E$108,4,FALSE)="Yes","TRAVEL DAY"," ")," ")</f>
        <v xml:space="preserve"> </v>
      </c>
      <c r="H57" s="139" t="str">
        <f>IFERROR(IF(VLOOKUP(H54,Itinerary!$B$9:$E$108,4,FALSE)="Yes","TRAVEL DAY"," ")," ")</f>
        <v xml:space="preserve"> </v>
      </c>
    </row>
    <row r="58" spans="1:8" ht="58.25" customHeight="1" thickBot="1" x14ac:dyDescent="0.4">
      <c r="A58" s="98"/>
      <c r="B58" s="131" cm="1">
        <f t="array" ref="B58">IFERROR(_xlfn.IFS($B$8="Travel Plan",VLOOKUP(B54,Table2[],5,FALSE),$B$8="Day Plan/Activities",VLOOKUP(B54,Table2[],6,FALSE),$B$8="Today's Budget",VLOOKUP(B54,Table2[],7,FALSE),$B$8="Notes",VLOOKUP(B54,Table2[],8,FALSE))," ")</f>
        <v>0</v>
      </c>
      <c r="C58" s="131" cm="1">
        <f t="array" ref="C58">IFERROR(_xlfn.IFS($B$8="Travel Plan",VLOOKUP(C54,Table2[],5,FALSE),$B$8="Day Plan/Activities",VLOOKUP(C54,Table2[],6,FALSE),$B$8="Today's Budget",VLOOKUP(C54,Table2[],7,FALSE),$B$8="Notes",VLOOKUP(C54,Table2[],8,FALSE))," ")</f>
        <v>0</v>
      </c>
      <c r="D58" s="131" cm="1">
        <f t="array" ref="D58">IFERROR(_xlfn.IFS($B$8="Travel Plan",VLOOKUP(D54,Table2[],5,FALSE),$B$8="Day Plan/Activities",VLOOKUP(D54,Table2[],6,FALSE),$B$8="Today's Budget",VLOOKUP(D54,Table2[],7,FALSE),$B$8="Notes",VLOOKUP(D54,Table2[],8,FALSE))," ")</f>
        <v>0</v>
      </c>
      <c r="E58" s="131" cm="1">
        <f t="array" ref="E58">IFERROR(_xlfn.IFS($B$8="Travel Plan",VLOOKUP(E54,Table2[],5,FALSE),$B$8="Day Plan/Activities",VLOOKUP(E54,Table2[],6,FALSE),$B$8="Today's Budget",VLOOKUP(E54,Table2[],7,FALSE),$B$8="Notes",VLOOKUP(E54,Table2[],8,FALSE))," ")</f>
        <v>0</v>
      </c>
      <c r="F58" s="131" cm="1">
        <f t="array" ref="F58">IFERROR(_xlfn.IFS($B$8="Travel Plan",VLOOKUP(F54,Table2[],5,FALSE),$B$8="Day Plan/Activities",VLOOKUP(F54,Table2[],6,FALSE),$B$8="Today's Budget",VLOOKUP(F54,Table2[],7,FALSE),$B$8="Notes",VLOOKUP(F54,Table2[],8,FALSE))," ")</f>
        <v>0</v>
      </c>
      <c r="G58" s="131" cm="1">
        <f t="array" ref="G58">IFERROR(_xlfn.IFS($B$8="Travel Plan",VLOOKUP(G54,Table2[],5,FALSE),$B$8="Day Plan/Activities",VLOOKUP(G54,Table2[],6,FALSE),$B$8="Today's Budget",VLOOKUP(G54,Table2[],7,FALSE),$B$8="Notes",VLOOKUP(G54,Table2[],8,FALSE))," ")</f>
        <v>0</v>
      </c>
      <c r="H58" s="131" cm="1">
        <f t="array" ref="H58">IFERROR(_xlfn.IFS($B$8="Travel Plan",VLOOKUP(H54,Table2[],5,FALSE),$B$8="Day Plan/Activities",VLOOKUP(H54,Table2[],6,FALSE),$B$8="Today's Budget",VLOOKUP(H54,Table2[],7,FALSE),$B$8="Notes",VLOOKUP(H54,Table2[],8,FALSE))," ")</f>
        <v>0</v>
      </c>
    </row>
    <row r="59" spans="1:8" x14ac:dyDescent="0.35">
      <c r="A59" s="98"/>
      <c r="B59" s="105">
        <f>'Itinerary-CODE'!B13</f>
        <v>45095</v>
      </c>
      <c r="C59" s="105">
        <f>'Itinerary-CODE'!C13</f>
        <v>45096</v>
      </c>
      <c r="D59" s="105">
        <f>'Itinerary-CODE'!D13</f>
        <v>45097</v>
      </c>
      <c r="E59" s="105">
        <f>'Itinerary-CODE'!E13</f>
        <v>45098</v>
      </c>
      <c r="F59" s="105">
        <f>'Itinerary-CODE'!F13</f>
        <v>45099</v>
      </c>
      <c r="G59" s="105">
        <f>'Itinerary-CODE'!G13</f>
        <v>45100</v>
      </c>
      <c r="H59" s="105">
        <f>'Itinerary-CODE'!H13</f>
        <v>45101</v>
      </c>
    </row>
    <row r="60" spans="1:8" x14ac:dyDescent="0.35">
      <c r="A60" s="98"/>
      <c r="B60" s="110" t="str">
        <f>IFERROR(VLOOKUP(B59,Itinerary!$B$9:$E$108,2,FALSE)," ")</f>
        <v xml:space="preserve"> </v>
      </c>
      <c r="C60" s="110" t="str">
        <f>IFERROR(VLOOKUP(C59,Itinerary!$B$9:$E$108,2,FALSE)," ")</f>
        <v xml:space="preserve"> </v>
      </c>
      <c r="D60" s="110" t="str">
        <f>IFERROR(VLOOKUP(D59,Itinerary!$B$9:$E$108,2,FALSE)," ")</f>
        <v xml:space="preserve"> </v>
      </c>
      <c r="E60" s="110" t="str">
        <f>IFERROR(VLOOKUP(E59,Itinerary!$B$9:$E$108,2,FALSE)," ")</f>
        <v xml:space="preserve"> </v>
      </c>
      <c r="F60" s="110" t="str">
        <f>IFERROR(VLOOKUP(F59,Itinerary!$B$9:$E$108,2,FALSE)," ")</f>
        <v xml:space="preserve"> </v>
      </c>
      <c r="G60" s="110" t="str">
        <f>IFERROR(VLOOKUP(G59,Itinerary!$B$9:$E$108,2,FALSE)," ")</f>
        <v xml:space="preserve"> </v>
      </c>
      <c r="H60" s="110" t="str">
        <f>IFERROR(VLOOKUP(H59,Itinerary!$B$9:$E$108,2,FALSE)," ")</f>
        <v xml:space="preserve"> </v>
      </c>
    </row>
    <row r="61" spans="1:8" s="124" customFormat="1" x14ac:dyDescent="0.35">
      <c r="A61" s="129"/>
      <c r="B61" s="125" t="str">
        <f>IFERROR(VLOOKUP(B59,Itinerary!$B$9:$E$108,3,FALSE)," ")</f>
        <v xml:space="preserve"> </v>
      </c>
      <c r="C61" s="125" t="str">
        <f>IFERROR(VLOOKUP(C59,Itinerary!$B$9:$E$108,3,FALSE)," ")</f>
        <v xml:space="preserve"> </v>
      </c>
      <c r="D61" s="125" t="str">
        <f>IFERROR(VLOOKUP(D59,Itinerary!$B$9:$E$108,3,FALSE)," ")</f>
        <v xml:space="preserve"> </v>
      </c>
      <c r="E61" s="125" t="str">
        <f>IFERROR(VLOOKUP(E59,Itinerary!$B$9:$E$108,3,FALSE)," ")</f>
        <v xml:space="preserve"> </v>
      </c>
      <c r="F61" s="125" t="str">
        <f>IFERROR(VLOOKUP(F59,Itinerary!$B$9:$E$108,3,FALSE)," ")</f>
        <v xml:space="preserve"> </v>
      </c>
      <c r="G61" s="125" t="str">
        <f>IFERROR(VLOOKUP(G59,Itinerary!$B$9:$E$108,3,FALSE)," ")</f>
        <v xml:space="preserve"> </v>
      </c>
      <c r="H61" s="125" t="str">
        <f>IFERROR(VLOOKUP(H59,Itinerary!$B$9:$E$108,3,FALSE)," ")</f>
        <v xml:space="preserve"> </v>
      </c>
    </row>
    <row r="62" spans="1:8" s="138" customFormat="1" x14ac:dyDescent="0.35">
      <c r="A62" s="140"/>
      <c r="B62" s="143" t="str">
        <f>IFERROR(IF(VLOOKUP(B59,Itinerary!$B$9:$E$108,4,FALSE)="Yes","TRAVEL DAY"," ")," ")</f>
        <v xml:space="preserve"> </v>
      </c>
      <c r="C62" s="143" t="str">
        <f>IFERROR(IF(VLOOKUP(C59,Itinerary!$B$9:$E$108,4,FALSE)="Yes","TRAVEL DAY"," ")," ")</f>
        <v xml:space="preserve"> </v>
      </c>
      <c r="D62" s="143" t="str">
        <f>IFERROR(IF(VLOOKUP(D59,Itinerary!$B$9:$E$108,4,FALSE)="Yes","TRAVEL DAY"," ")," ")</f>
        <v xml:space="preserve"> </v>
      </c>
      <c r="E62" s="143" t="str">
        <f>IFERROR(IF(VLOOKUP(E59,Itinerary!$B$9:$E$108,4,FALSE)="Yes","TRAVEL DAY"," ")," ")</f>
        <v xml:space="preserve"> </v>
      </c>
      <c r="F62" s="143" t="str">
        <f>IFERROR(IF(VLOOKUP(F59,Itinerary!$B$9:$E$108,4,FALSE)="Yes","TRAVEL DAY"," ")," ")</f>
        <v xml:space="preserve"> </v>
      </c>
      <c r="G62" s="143" t="str">
        <f>IFERROR(IF(VLOOKUP(G59,Itinerary!$B$9:$E$108,4,FALSE)="Yes","TRAVEL DAY"," ")," ")</f>
        <v xml:space="preserve"> </v>
      </c>
      <c r="H62" s="143" t="str">
        <f>IFERROR(IF(VLOOKUP(H59,Itinerary!$B$9:$E$108,4,FALSE)="Yes","TRAVEL DAY"," ")," ")</f>
        <v xml:space="preserve"> </v>
      </c>
    </row>
    <row r="63" spans="1:8" ht="58.25" customHeight="1" thickBot="1" x14ac:dyDescent="0.4">
      <c r="A63" s="98"/>
      <c r="B63" s="40" cm="1">
        <f t="array" ref="B63">IFERROR(_xlfn.IFS($B$8="Travel Plan",VLOOKUP(B59,Table2[],5,FALSE),$B$8="Day Plan/Activities",VLOOKUP(B59,Table2[],6,FALSE),$B$8="Today's Budget",VLOOKUP(B59,Table2[],7,FALSE),$B$8="Notes",VLOOKUP(B59,Table2[],8,FALSE))," ")</f>
        <v>0</v>
      </c>
      <c r="C63" s="40" cm="1">
        <f t="array" ref="C63">IFERROR(_xlfn.IFS($B$8="Travel Plan",VLOOKUP(C59,Table2[],5,FALSE),$B$8="Day Plan/Activities",VLOOKUP(C59,Table2[],6,FALSE),$B$8="Today's Budget",VLOOKUP(C59,Table2[],7,FALSE),$B$8="Notes",VLOOKUP(C59,Table2[],8,FALSE))," ")</f>
        <v>0</v>
      </c>
      <c r="D63" s="40" cm="1">
        <f t="array" ref="D63">IFERROR(_xlfn.IFS($B$8="Travel Plan",VLOOKUP(D59,Table2[],5,FALSE),$B$8="Day Plan/Activities",VLOOKUP(D59,Table2[],6,FALSE),$B$8="Today's Budget",VLOOKUP(D59,Table2[],7,FALSE),$B$8="Notes",VLOOKUP(D59,Table2[],8,FALSE))," ")</f>
        <v>0</v>
      </c>
      <c r="E63" s="40" cm="1">
        <f t="array" ref="E63">IFERROR(_xlfn.IFS($B$8="Travel Plan",VLOOKUP(E59,Table2[],5,FALSE),$B$8="Day Plan/Activities",VLOOKUP(E59,Table2[],6,FALSE),$B$8="Today's Budget",VLOOKUP(E59,Table2[],7,FALSE),$B$8="Notes",VLOOKUP(E59,Table2[],8,FALSE))," ")</f>
        <v>0</v>
      </c>
      <c r="F63" s="42" cm="1">
        <f t="array" ref="F63">IFERROR(_xlfn.IFS($B$8="Travel Plan",VLOOKUP(F59,Table2[],5,FALSE),$B$8="Day Plan/Activities",VLOOKUP(F59,Table2[],6,FALSE),$B$8="Today's Budget",VLOOKUP(F59,Table2[],7,FALSE),$B$8="Notes",VLOOKUP(F59,Table2[],8,FALSE))," ")</f>
        <v>0</v>
      </c>
      <c r="G63" s="40" cm="1">
        <f t="array" ref="G63">IFERROR(_xlfn.IFS($B$8="Travel Plan",VLOOKUP(G59,Table2[],5,FALSE),$B$8="Day Plan/Activities",VLOOKUP(G59,Table2[],6,FALSE),$B$8="Today's Budget",VLOOKUP(G59,Table2[],7,FALSE),$B$8="Notes",VLOOKUP(G59,Table2[],8,FALSE))," ")</f>
        <v>0</v>
      </c>
      <c r="H63" s="40" cm="1">
        <f t="array" ref="H63">IFERROR(_xlfn.IFS($B$8="Travel Plan",VLOOKUP(H59,Table2[],5,FALSE),$B$8="Day Plan/Activities",VLOOKUP(H59,Table2[],6,FALSE),$B$8="Today's Budget",VLOOKUP(H59,Table2[],7,FALSE),$B$8="Notes",VLOOKUP(H59,Table2[],8,FALSE))," ")</f>
        <v>0</v>
      </c>
    </row>
    <row r="64" spans="1:8" x14ac:dyDescent="0.35">
      <c r="A64" s="98"/>
      <c r="B64" s="39">
        <f>'Itinerary-CODE'!B14</f>
        <v>45102</v>
      </c>
      <c r="C64" s="39">
        <f>'Itinerary-CODE'!C14</f>
        <v>45103</v>
      </c>
      <c r="D64" s="39">
        <f>'Itinerary-CODE'!D14</f>
        <v>45104</v>
      </c>
      <c r="E64" s="39">
        <f>'Itinerary-CODE'!E14</f>
        <v>45105</v>
      </c>
      <c r="F64" s="39">
        <f>'Itinerary-CODE'!F14</f>
        <v>45106</v>
      </c>
      <c r="G64" s="39">
        <f>'Itinerary-CODE'!G14</f>
        <v>45107</v>
      </c>
      <c r="H64" s="39" t="str">
        <f>'Itinerary-CODE'!H14</f>
        <v/>
      </c>
    </row>
    <row r="65" spans="1:8" x14ac:dyDescent="0.35">
      <c r="A65" s="98"/>
      <c r="B65" s="111" t="str">
        <f>IFERROR(VLOOKUP(B64,Itinerary!$B$9:$E$108,2,FALSE)," ")</f>
        <v xml:space="preserve"> </v>
      </c>
      <c r="C65" s="111" t="str">
        <f>IFERROR(VLOOKUP(C64,Itinerary!$B$9:$E$108,2,FALSE)," ")</f>
        <v xml:space="preserve"> </v>
      </c>
      <c r="D65" s="111" t="str">
        <f>IFERROR(VLOOKUP(D64,Itinerary!$B$9:$E$108,2,FALSE)," ")</f>
        <v xml:space="preserve"> </v>
      </c>
      <c r="E65" s="111" t="str">
        <f>IFERROR(VLOOKUP(E64,Itinerary!$B$9:$E$108,2,FALSE)," ")</f>
        <v xml:space="preserve"> </v>
      </c>
      <c r="F65" s="111" t="str">
        <f>IFERROR(VLOOKUP(F64,Itinerary!$B$9:$E$108,2,FALSE)," ")</f>
        <v xml:space="preserve"> </v>
      </c>
      <c r="G65" s="111" t="str">
        <f>IFERROR(VLOOKUP(G64,Itinerary!$B$9:$E$108,2,FALSE)," ")</f>
        <v xml:space="preserve"> </v>
      </c>
      <c r="H65" s="111" t="str">
        <f>IFERROR(VLOOKUP(H64,Itinerary!$B$9:$E$108,2,FALSE)," ")</f>
        <v xml:space="preserve"> </v>
      </c>
    </row>
    <row r="66" spans="1:8" s="124" customFormat="1" x14ac:dyDescent="0.35">
      <c r="A66" s="129"/>
      <c r="B66" s="126" t="str">
        <f>IFERROR(VLOOKUP(B64,Itinerary!$B$9:$E$108,3,FALSE)," ")</f>
        <v xml:space="preserve"> </v>
      </c>
      <c r="C66" s="126" t="str">
        <f>IFERROR(VLOOKUP(C64,Itinerary!$B$9:$E$108,3,FALSE)," ")</f>
        <v xml:space="preserve"> </v>
      </c>
      <c r="D66" s="126" t="str">
        <f>IFERROR(VLOOKUP(D64,Itinerary!$B$9:$E$108,3,FALSE)," ")</f>
        <v xml:space="preserve"> </v>
      </c>
      <c r="E66" s="126" t="str">
        <f>IFERROR(VLOOKUP(E64,Itinerary!$B$9:$E$108,3,FALSE)," ")</f>
        <v xml:space="preserve"> </v>
      </c>
      <c r="F66" s="126" t="str">
        <f>IFERROR(VLOOKUP(F64,Itinerary!$B$9:$E$108,3,FALSE)," ")</f>
        <v xml:space="preserve"> </v>
      </c>
      <c r="G66" s="126" t="str">
        <f>IFERROR(VLOOKUP(G64,Itinerary!$B$9:$E$108,3,FALSE)," ")</f>
        <v xml:space="preserve"> </v>
      </c>
      <c r="H66" s="126" t="str">
        <f>IFERROR(VLOOKUP(H64,Itinerary!$B$9:$E$108,3,FALSE)," ")</f>
        <v xml:space="preserve"> </v>
      </c>
    </row>
    <row r="67" spans="1:8" s="138" customFormat="1" x14ac:dyDescent="0.35">
      <c r="A67" s="140"/>
      <c r="B67" s="139" t="str">
        <f>IFERROR(IF(VLOOKUP(B64,Itinerary!$B$9:$E$108,4,FALSE)="Yes","TRAVEL DAY"," ")," ")</f>
        <v xml:space="preserve"> </v>
      </c>
      <c r="C67" s="139" t="str">
        <f>IFERROR(IF(VLOOKUP(C64,Itinerary!$B$9:$E$108,4,FALSE)="Yes","TRAVEL DAY"," ")," ")</f>
        <v xml:space="preserve"> </v>
      </c>
      <c r="D67" s="139" t="str">
        <f>IFERROR(IF(VLOOKUP(D64,Itinerary!$B$9:$E$108,4,FALSE)="Yes","TRAVEL DAY"," ")," ")</f>
        <v xml:space="preserve"> </v>
      </c>
      <c r="E67" s="139" t="str">
        <f>IFERROR(IF(VLOOKUP(E64,Itinerary!$B$9:$E$108,4,FALSE)="Yes","TRAVEL DAY"," ")," ")</f>
        <v xml:space="preserve"> </v>
      </c>
      <c r="F67" s="139" t="str">
        <f>IFERROR(IF(VLOOKUP(F64,Itinerary!$B$9:$E$108,4,FALSE)="Yes","TRAVEL DAY"," ")," ")</f>
        <v xml:space="preserve"> </v>
      </c>
      <c r="G67" s="141"/>
      <c r="H67" s="142"/>
    </row>
    <row r="68" spans="1:8" ht="58.25" customHeight="1" thickBot="1" x14ac:dyDescent="0.4">
      <c r="A68" s="98"/>
      <c r="B68" s="131" cm="1">
        <f t="array" ref="B68">IFERROR(_xlfn.IFS($B$8="Travel Plan",VLOOKUP(B64,Table2[],5,FALSE),$B$8="Day Plan/Activities",VLOOKUP(B64,Table2[],6,FALSE),$B$8="Today's Budget",VLOOKUP(B64,Table2[],7,FALSE),$B$8="Notes",VLOOKUP(B64,Table2[],8,FALSE))," ")</f>
        <v>0</v>
      </c>
      <c r="C68" s="131" cm="1">
        <f t="array" ref="C68">IFERROR(_xlfn.IFS($B$8="Travel Plan",VLOOKUP(C64,Table2[],5,FALSE),$B$8="Day Plan/Activities",VLOOKUP(C64,Table2[],6,FALSE),$B$8="Today's Budget",VLOOKUP(C64,Table2[],7,FALSE),$B$8="Notes",VLOOKUP(C64,Table2[],8,FALSE))," ")</f>
        <v>0</v>
      </c>
      <c r="D68" s="131" cm="1">
        <f t="array" ref="D68">IFERROR(_xlfn.IFS($B$8="Travel Plan",VLOOKUP(D64,Table2[],5,FALSE),$B$8="Day Plan/Activities",VLOOKUP(D64,Table2[],6,FALSE),$B$8="Today's Budget",VLOOKUP(D64,Table2[],7,FALSE),$B$8="Notes",VLOOKUP(D64,Table2[],8,FALSE))," ")</f>
        <v>0</v>
      </c>
      <c r="E68" s="131" cm="1">
        <f t="array" ref="E68">IFERROR(_xlfn.IFS($B$8="Travel Plan",VLOOKUP(E64,Table2[],5,FALSE),$B$8="Day Plan/Activities",VLOOKUP(E64,Table2[],6,FALSE),$B$8="Today's Budget",VLOOKUP(E64,Table2[],7,FALSE),$B$8="Notes",VLOOKUP(E64,Table2[],8,FALSE))," ")</f>
        <v>0</v>
      </c>
      <c r="F68" s="131" cm="1">
        <f t="array" ref="F68">IFERROR(_xlfn.IFS($B$8="Travel Plan",VLOOKUP(F64,Table2[],5,FALSE),$B$8="Day Plan/Activities",VLOOKUP(F64,Table2[],6,FALSE),$B$8="Today's Budget",VLOOKUP(F64,Table2[],7,FALSE),$B$8="Notes",VLOOKUP(F64,Table2[],8,FALSE))," ")</f>
        <v>0</v>
      </c>
      <c r="G68" s="131" cm="1">
        <f t="array" ref="G68">IFERROR(_xlfn.IFS($B$8="Travel Plan",VLOOKUP(G64,Table2[],5,FALSE),$B$8="Day Plan/Activities",VLOOKUP(G64,Table2[],6,FALSE),$B$8="Today's Budget",VLOOKUP(G64,Table2[],7,FALSE),$B$8="Notes",VLOOKUP(G64,Table2[],8,FALSE))," ")</f>
        <v>0</v>
      </c>
      <c r="H68" s="131" t="str" cm="1">
        <f t="array" ref="H68">IFERROR(_xlfn.IFS($B$8="Travel Plan",VLOOKUP(H64,Table2[],5,FALSE),$B$8="Day Plan/Activities",VLOOKUP(H64,Table2[],6,FALSE),$B$8="Today's Budget",VLOOKUP(H64,Table2[],7,FALSE),$B$8="Notes",VLOOKUP(H64,Table2[],8,FALSE))," ")</f>
        <v xml:space="preserve"> </v>
      </c>
    </row>
    <row r="69" spans="1:8" x14ac:dyDescent="0.35">
      <c r="B69" s="101" t="str">
        <f>'Itinerary-CODE'!B15</f>
        <v/>
      </c>
      <c r="C69" s="101" t="str">
        <f>'Itinerary-CODE'!C15</f>
        <v/>
      </c>
      <c r="D69" s="101" t="str">
        <f>'Itinerary-CODE'!D15</f>
        <v/>
      </c>
      <c r="E69" s="246" t="str">
        <f>'Itinerary-CODE'!E15</f>
        <v/>
      </c>
      <c r="F69" s="247"/>
      <c r="G69" s="247"/>
      <c r="H69" s="248"/>
    </row>
    <row r="70" spans="1:8" x14ac:dyDescent="0.35">
      <c r="B70" s="110" t="str">
        <f>IFERROR(VLOOKUP(B69,Itinerary!$B$9:$E$108,2,FALSE)," ")</f>
        <v xml:space="preserve"> </v>
      </c>
      <c r="C70" s="110" t="str">
        <f>IFERROR(VLOOKUP(C69,Itinerary!$B$9:$E$108,2,FALSE)," ")</f>
        <v xml:space="preserve"> </v>
      </c>
      <c r="D70" s="110" t="str">
        <f>IFERROR(VLOOKUP(D69,Itinerary!$B$9:$E$108,2,FALSE)," ")</f>
        <v xml:space="preserve"> </v>
      </c>
      <c r="E70" s="249"/>
      <c r="F70" s="250"/>
      <c r="G70" s="250"/>
      <c r="H70" s="251"/>
    </row>
    <row r="71" spans="1:8" s="124" customFormat="1" x14ac:dyDescent="0.35">
      <c r="B71" s="125" t="str">
        <f>IFERROR(VLOOKUP(B69,Itinerary!$B$9:$E$108,3,FALSE)," ")</f>
        <v xml:space="preserve"> </v>
      </c>
      <c r="C71" s="125" t="str">
        <f>IFERROR(VLOOKUP(C69,Itinerary!$B$9:$E$108,3,FALSE)," ")</f>
        <v xml:space="preserve"> </v>
      </c>
      <c r="D71" s="125" t="str">
        <f>IFERROR(VLOOKUP(D69,Itinerary!$B$9:$E$108,3,FALSE)," ")</f>
        <v xml:space="preserve"> </v>
      </c>
      <c r="E71" s="249"/>
      <c r="F71" s="250"/>
      <c r="G71" s="250"/>
      <c r="H71" s="251"/>
    </row>
    <row r="72" spans="1:8" s="138" customFormat="1" x14ac:dyDescent="0.35">
      <c r="B72" s="143" t="str">
        <f>IFERROR(IF(VLOOKUP(B69,Itinerary!$B$9:$E$108,4,FALSE)="Yes","TRAVEL DAY"," ")," ")</f>
        <v xml:space="preserve"> </v>
      </c>
      <c r="C72" s="143" t="str">
        <f>IFERROR(IF(VLOOKUP(C69,Itinerary!$B$9:$E$108,4,FALSE)="Yes","TRAVEL DAY"," ")," ")</f>
        <v xml:space="preserve"> </v>
      </c>
      <c r="D72" s="143" t="str">
        <f>IFERROR(IF(VLOOKUP(D69,Itinerary!$B$9:$E$108,4,FALSE)="Yes","TRAVEL DAY"," ")," ")</f>
        <v xml:space="preserve"> </v>
      </c>
      <c r="E72" s="249"/>
      <c r="F72" s="250"/>
      <c r="G72" s="250"/>
      <c r="H72" s="251"/>
    </row>
    <row r="73" spans="1:8" ht="58.25" customHeight="1" thickBot="1" x14ac:dyDescent="0.4">
      <c r="B73" s="102"/>
      <c r="C73" s="103"/>
      <c r="D73" s="102"/>
      <c r="E73" s="252"/>
      <c r="F73" s="253"/>
      <c r="G73" s="253"/>
      <c r="H73" s="254"/>
    </row>
    <row r="74" spans="1:8" s="106" customFormat="1" ht="45.5" customHeight="1" thickBot="1" x14ac:dyDescent="0.6">
      <c r="B74" s="255" t="str" cm="1">
        <f t="array" ref="B74">(_xlfn.IFS(DreamStartMonth3=1,"January ",DreamStartMonth3=2,"February ",DreamStartMonth3=3,"March ",DreamStartMonth3=4,"April ",DreamStartMonth3=5,"May ",DreamStartMonth3=6,"June ",DreamStartMonth3=7,"July ",DreamStartMonth3=8,"August ",DreamStartMonth3=9,"September ",DreamStartMonth3=10,"October ",DreamStartMonth3=11,"November ",DreamStartMonth3=12,"December "))&amp;YEAR(B81)</f>
        <v>July 2023</v>
      </c>
      <c r="C74" s="255"/>
      <c r="D74" s="255"/>
      <c r="E74" s="107"/>
      <c r="F74" s="107"/>
      <c r="G74" s="107"/>
      <c r="H74" s="107"/>
    </row>
    <row r="75" spans="1:8" ht="15" thickBot="1" x14ac:dyDescent="0.4">
      <c r="B75" s="97" t="s">
        <v>24</v>
      </c>
      <c r="C75" s="36" t="s">
        <v>23</v>
      </c>
      <c r="D75" s="97" t="s">
        <v>25</v>
      </c>
      <c r="E75" s="36" t="s">
        <v>26</v>
      </c>
      <c r="F75" s="97" t="s">
        <v>27</v>
      </c>
      <c r="G75" s="36" t="s">
        <v>28</v>
      </c>
      <c r="H75" s="97" t="s">
        <v>29</v>
      </c>
    </row>
    <row r="76" spans="1:8" x14ac:dyDescent="0.35">
      <c r="B76" s="39" t="str">
        <f>'Itinerary-CODE'!B16</f>
        <v/>
      </c>
      <c r="C76" s="39" t="str">
        <f>'Itinerary-CODE'!C16</f>
        <v/>
      </c>
      <c r="D76" s="39" t="str">
        <f>'Itinerary-CODE'!D16</f>
        <v/>
      </c>
      <c r="E76" s="39" t="str">
        <f>'Itinerary-CODE'!E16</f>
        <v/>
      </c>
      <c r="F76" s="39" t="str">
        <f>'Itinerary-CODE'!F16</f>
        <v/>
      </c>
      <c r="G76" s="39" t="str">
        <f>'Itinerary-CODE'!G16</f>
        <v/>
      </c>
      <c r="H76" s="39">
        <f>'Itinerary-CODE'!H16</f>
        <v>45108</v>
      </c>
    </row>
    <row r="77" spans="1:8" x14ac:dyDescent="0.35">
      <c r="B77" s="111" t="str">
        <f>IFERROR(VLOOKUP(B76,Itinerary!$B$9:$E$108,2,FALSE)," ")</f>
        <v xml:space="preserve"> </v>
      </c>
      <c r="C77" s="111" t="str">
        <f>IFERROR(VLOOKUP(C76,Itinerary!$B$9:$E$108,2,FALSE)," ")</f>
        <v xml:space="preserve"> </v>
      </c>
      <c r="D77" s="111" t="str">
        <f>IFERROR(VLOOKUP(D76,Itinerary!$B$9:$E$108,2,FALSE)," ")</f>
        <v xml:space="preserve"> </v>
      </c>
      <c r="E77" s="111" t="str">
        <f>IFERROR(VLOOKUP(E76,Itinerary!$B$9:$E$108,2,FALSE)," ")</f>
        <v xml:space="preserve"> </v>
      </c>
      <c r="F77" s="111" t="str">
        <f>IFERROR(VLOOKUP(F76,Itinerary!$B$9:$E$108,2,FALSE)," ")</f>
        <v xml:space="preserve"> </v>
      </c>
      <c r="G77" s="111" t="str">
        <f>IFERROR(VLOOKUP(G76,Itinerary!$B$9:$E$108,2,FALSE)," ")</f>
        <v xml:space="preserve"> </v>
      </c>
      <c r="H77" s="111" t="str">
        <f>IFERROR(VLOOKUP(H76,Itinerary!$B$9:$E$108,2,FALSE)," ")</f>
        <v xml:space="preserve"> </v>
      </c>
    </row>
    <row r="78" spans="1:8" s="124" customFormat="1" x14ac:dyDescent="0.35">
      <c r="B78" s="126" t="str">
        <f>IFERROR(VLOOKUP(B76,Itinerary!$B$9:$E$108,3,FALSE)," ")</f>
        <v xml:space="preserve"> </v>
      </c>
      <c r="C78" s="126" t="str">
        <f>IFERROR(VLOOKUP(C76,Itinerary!$B$9:$E$108,3,FALSE)," ")</f>
        <v xml:space="preserve"> </v>
      </c>
      <c r="D78" s="126" t="str">
        <f>IFERROR(VLOOKUP(D76,Itinerary!$B$9:$E$108,3,FALSE)," ")</f>
        <v xml:space="preserve"> </v>
      </c>
      <c r="E78" s="126" t="str">
        <f>IFERROR(VLOOKUP(E76,Itinerary!$B$9:$E$108,3,FALSE)," ")</f>
        <v xml:space="preserve"> </v>
      </c>
      <c r="F78" s="126" t="str">
        <f>IFERROR(VLOOKUP(F76,Itinerary!$B$9:$E$108,3,FALSE)," ")</f>
        <v xml:space="preserve"> </v>
      </c>
      <c r="G78" s="126" t="str">
        <f>IFERROR(VLOOKUP(G76,Itinerary!$B$9:$E$108,3,FALSE)," ")</f>
        <v xml:space="preserve"> </v>
      </c>
      <c r="H78" s="126" t="str">
        <f>IFERROR(VLOOKUP(H76,Itinerary!$B$9:$E$108,3,FALSE)," ")</f>
        <v xml:space="preserve"> </v>
      </c>
    </row>
    <row r="79" spans="1:8" s="138" customFormat="1" x14ac:dyDescent="0.35">
      <c r="B79" s="139" t="str">
        <f>IFERROR(IF(VLOOKUP(B76,Itinerary!$B$9:$E$108,4,FALSE)="Yes","TRAVEL DAY"," ")," ")</f>
        <v xml:space="preserve"> </v>
      </c>
      <c r="C79" s="139" t="str">
        <f>IFERROR(IF(VLOOKUP(C76,Itinerary!$B$9:$E$108,4,FALSE)="Yes","TRAVEL DAY"," ")," ")</f>
        <v xml:space="preserve"> </v>
      </c>
      <c r="D79" s="139" t="str">
        <f>IFERROR(IF(VLOOKUP(D76,Itinerary!$B$9:$E$108,4,FALSE)="Yes","TRAVEL DAY"," ")," ")</f>
        <v xml:space="preserve"> </v>
      </c>
      <c r="E79" s="139" t="str">
        <f>IFERROR(IF(VLOOKUP(E76,Itinerary!$B$9:$E$108,4,FALSE)="Yes","TRAVEL DAY"," ")," ")</f>
        <v xml:space="preserve"> </v>
      </c>
      <c r="F79" s="139" t="str">
        <f>IFERROR(IF(VLOOKUP(F76,Itinerary!$B$9:$E$108,4,FALSE)="Yes","TRAVEL DAY"," ")," ")</f>
        <v xml:space="preserve"> </v>
      </c>
      <c r="G79" s="139" t="str">
        <f>IFERROR(IF(VLOOKUP(G76,Itinerary!$B$9:$E$108,4,FALSE)="Yes","TRAVEL DAY"," ")," ")</f>
        <v xml:space="preserve"> </v>
      </c>
      <c r="H79" s="139" t="str">
        <f>IFERROR(IF(VLOOKUP(H76,Itinerary!$B$9:$E$108,4,FALSE)="Yes","TRAVEL DAY"," ")," ")</f>
        <v xml:space="preserve"> </v>
      </c>
    </row>
    <row r="80" spans="1:8" ht="58.25" customHeight="1" thickBot="1" x14ac:dyDescent="0.4">
      <c r="B80" s="131" t="str" cm="1">
        <f t="array" ref="B80">IFERROR(_xlfn.IFS($B$8="Travel Plan",VLOOKUP(B76,Table2[],5,FALSE),$B$8="Day Plan/Activities",VLOOKUP(B76,Table2[],6,FALSE),$B$8="Today's Budget",VLOOKUP(B76,Table2[],7,FALSE),$B$8="Notes",VLOOKUP(B76,Table2[],8,FALSE))," ")</f>
        <v xml:space="preserve"> </v>
      </c>
      <c r="C80" s="131" t="str" cm="1">
        <f t="array" ref="C80">IFERROR(_xlfn.IFS($B$8="Travel Plan",VLOOKUP(C76,Table2[],5,FALSE),$B$8="Day Plan/Activities",VLOOKUP(C76,Table2[],6,FALSE),$B$8="Today's Budget",VLOOKUP(C76,Table2[],7,FALSE),$B$8="Notes",VLOOKUP(C76,Table2[],8,FALSE))," ")</f>
        <v xml:space="preserve"> </v>
      </c>
      <c r="D80" s="131" t="str" cm="1">
        <f t="array" ref="D80">IFERROR(_xlfn.IFS($B$8="Travel Plan",VLOOKUP(D76,Table2[],5,FALSE),$B$8="Day Plan/Activities",VLOOKUP(D76,Table2[],6,FALSE),$B$8="Today's Budget",VLOOKUP(D76,Table2[],7,FALSE),$B$8="Notes",VLOOKUP(D76,Table2[],8,FALSE))," ")</f>
        <v xml:space="preserve"> </v>
      </c>
      <c r="E80" s="131" t="str" cm="1">
        <f t="array" ref="E80">IFERROR(_xlfn.IFS($B$8="Travel Plan",VLOOKUP(E76,Table2[],5,FALSE),$B$8="Day Plan/Activities",VLOOKUP(E76,Table2[],6,FALSE),$B$8="Today's Budget",VLOOKUP(E76,Table2[],7,FALSE),$B$8="Notes",VLOOKUP(E76,Table2[],8,FALSE))," ")</f>
        <v xml:space="preserve"> </v>
      </c>
      <c r="F80" s="131" t="str" cm="1">
        <f t="array" ref="F80">IFERROR(_xlfn.IFS($B$8="Travel Plan",VLOOKUP(F76,Table2[],5,FALSE),$B$8="Day Plan/Activities",VLOOKUP(F76,Table2[],6,FALSE),$B$8="Today's Budget",VLOOKUP(F76,Table2[],7,FALSE),$B$8="Notes",VLOOKUP(F76,Table2[],8,FALSE))," ")</f>
        <v xml:space="preserve"> </v>
      </c>
      <c r="G80" s="131" t="str" cm="1">
        <f t="array" ref="G80">IFERROR(_xlfn.IFS($B$8="Travel Plan",VLOOKUP(G76,Table2[],5,FALSE),$B$8="Day Plan/Activities",VLOOKUP(G76,Table2[],6,FALSE),$B$8="Today's Budget",VLOOKUP(G76,Table2[],7,FALSE),$B$8="Notes",VLOOKUP(G76,Table2[],8,FALSE))," ")</f>
        <v xml:space="preserve"> </v>
      </c>
      <c r="H80" s="131" cm="1">
        <f t="array" ref="H80">IFERROR(_xlfn.IFS($B$8="Travel Plan",VLOOKUP(H76,Table2[],5,FALSE),$B$8="Day Plan/Activities",VLOOKUP(H76,Table2[],6,FALSE),$B$8="Today's Budget",VLOOKUP(H76,Table2[],7,FALSE),$B$8="Notes",VLOOKUP(H76,Table2[],8,FALSE))," ")</f>
        <v>0</v>
      </c>
    </row>
    <row r="81" spans="2:8" x14ac:dyDescent="0.35">
      <c r="B81" s="105">
        <f>'Itinerary-CODE'!B17</f>
        <v>45109</v>
      </c>
      <c r="C81" s="105">
        <f>'Itinerary-CODE'!C17</f>
        <v>45110</v>
      </c>
      <c r="D81" s="105">
        <f>'Itinerary-CODE'!D17</f>
        <v>45111</v>
      </c>
      <c r="E81" s="105">
        <f>'Itinerary-CODE'!E17</f>
        <v>45112</v>
      </c>
      <c r="F81" s="105">
        <f>'Itinerary-CODE'!F17</f>
        <v>45113</v>
      </c>
      <c r="G81" s="105">
        <f>'Itinerary-CODE'!G17</f>
        <v>45114</v>
      </c>
      <c r="H81" s="105">
        <f>'Itinerary-CODE'!H17</f>
        <v>45115</v>
      </c>
    </row>
    <row r="82" spans="2:8" x14ac:dyDescent="0.35">
      <c r="B82" s="110" t="str">
        <f>IFERROR(VLOOKUP(B81,Itinerary!$B$9:$E$108,2,FALSE)," ")</f>
        <v xml:space="preserve"> </v>
      </c>
      <c r="C82" s="110" t="str">
        <f>IFERROR(VLOOKUP(C81,Itinerary!$B$9:$E$108,2,FALSE)," ")</f>
        <v xml:space="preserve"> </v>
      </c>
      <c r="D82" s="110" t="str">
        <f>IFERROR(VLOOKUP(D81,Itinerary!$B$9:$E$108,2,FALSE)," ")</f>
        <v xml:space="preserve"> </v>
      </c>
      <c r="E82" s="110" t="str">
        <f>IFERROR(VLOOKUP(E81,Itinerary!$B$9:$E$108,2,FALSE)," ")</f>
        <v xml:space="preserve"> </v>
      </c>
      <c r="F82" s="110" t="str">
        <f>IFERROR(VLOOKUP(F81,Itinerary!$B$9:$E$108,2,FALSE)," ")</f>
        <v xml:space="preserve"> </v>
      </c>
      <c r="G82" s="110" t="str">
        <f>IFERROR(VLOOKUP(G81,Itinerary!$B$9:$E$108,2,FALSE)," ")</f>
        <v xml:space="preserve"> </v>
      </c>
      <c r="H82" s="110" t="str">
        <f>IFERROR(VLOOKUP(H81,Itinerary!$B$9:$E$108,2,FALSE)," ")</f>
        <v xml:space="preserve"> </v>
      </c>
    </row>
    <row r="83" spans="2:8" s="124" customFormat="1" x14ac:dyDescent="0.35">
      <c r="B83" s="125" t="str">
        <f>IFERROR(VLOOKUP(B81,Itinerary!$B$9:$E$108,3,FALSE)," ")</f>
        <v xml:space="preserve"> </v>
      </c>
      <c r="C83" s="125" t="str">
        <f>IFERROR(VLOOKUP(C81,Itinerary!$B$9:$E$108,3,FALSE)," ")</f>
        <v xml:space="preserve"> </v>
      </c>
      <c r="D83" s="125" t="str">
        <f>IFERROR(VLOOKUP(D81,Itinerary!$B$9:$E$108,3,FALSE)," ")</f>
        <v xml:space="preserve"> </v>
      </c>
      <c r="E83" s="125" t="str">
        <f>IFERROR(VLOOKUP(E81,Itinerary!$B$9:$E$108,3,FALSE)," ")</f>
        <v xml:space="preserve"> </v>
      </c>
      <c r="F83" s="125" t="str">
        <f>IFERROR(VLOOKUP(F81,Itinerary!$B$9:$E$108,3,FALSE)," ")</f>
        <v xml:space="preserve"> </v>
      </c>
      <c r="G83" s="125" t="str">
        <f>IFERROR(VLOOKUP(G81,Itinerary!$B$9:$E$108,3,FALSE)," ")</f>
        <v xml:space="preserve"> </v>
      </c>
      <c r="H83" s="125" t="str">
        <f>IFERROR(VLOOKUP(H81,Itinerary!$B$9:$E$108,3,FALSE)," ")</f>
        <v xml:space="preserve"> </v>
      </c>
    </row>
    <row r="84" spans="2:8" s="138" customFormat="1" x14ac:dyDescent="0.35">
      <c r="B84" s="143" t="str">
        <f>IFERROR(IF(VLOOKUP(B81,Itinerary!$B$9:$E$108,4,FALSE)="Yes","TRAVEL DAY"," ")," ")</f>
        <v xml:space="preserve"> </v>
      </c>
      <c r="C84" s="143" t="str">
        <f>IFERROR(IF(VLOOKUP(C81,Itinerary!$B$9:$E$108,4,FALSE)="Yes","TRAVEL DAY"," ")," ")</f>
        <v xml:space="preserve"> </v>
      </c>
      <c r="D84" s="143" t="str">
        <f>IFERROR(IF(VLOOKUP(D81,Itinerary!$B$9:$E$108,4,FALSE)="Yes","TRAVEL DAY"," ")," ")</f>
        <v xml:space="preserve"> </v>
      </c>
      <c r="E84" s="143" t="str">
        <f>IFERROR(IF(VLOOKUP(E81,Itinerary!$B$9:$E$108,4,FALSE)="Yes","TRAVEL DAY"," ")," ")</f>
        <v xml:space="preserve"> </v>
      </c>
      <c r="F84" s="143" t="str">
        <f>IFERROR(IF(VLOOKUP(F81,Itinerary!$B$9:$E$108,4,FALSE)="Yes","TRAVEL DAY"," ")," ")</f>
        <v xml:space="preserve"> </v>
      </c>
      <c r="G84" s="143" t="str">
        <f>IFERROR(IF(VLOOKUP(G81,Itinerary!$B$9:$E$108,4,FALSE)="Yes","TRAVEL DAY"," ")," ")</f>
        <v xml:space="preserve"> </v>
      </c>
      <c r="H84" s="143" t="str">
        <f>IFERROR(IF(VLOOKUP(H81,Itinerary!$B$9:$E$108,4,FALSE)="Yes","TRAVEL DAY"," ")," ")</f>
        <v xml:space="preserve"> </v>
      </c>
    </row>
    <row r="85" spans="2:8" ht="58.25" customHeight="1" thickBot="1" x14ac:dyDescent="0.4">
      <c r="B85" s="40" cm="1">
        <f t="array" ref="B85">IFERROR(_xlfn.IFS($B$8="Travel Plan",VLOOKUP(B81,Table2[],5,FALSE),$B$8="Day Plan/Activities",VLOOKUP(B81,Table2[],6,FALSE),$B$8="Today's Budget",VLOOKUP(B81,Table2[],7,FALSE),$B$8="Notes",VLOOKUP(B81,Table2[],8,FALSE))," ")</f>
        <v>0</v>
      </c>
      <c r="C85" s="40" cm="1">
        <f t="array" ref="C85">IFERROR(_xlfn.IFS($B$8="Travel Plan",VLOOKUP(C81,Table2[],5,FALSE),$B$8="Day Plan/Activities",VLOOKUP(C81,Table2[],6,FALSE),$B$8="Today's Budget",VLOOKUP(C81,Table2[],7,FALSE),$B$8="Notes",VLOOKUP(C81,Table2[],8,FALSE))," ")</f>
        <v>0</v>
      </c>
      <c r="D85" s="40" cm="1">
        <f t="array" ref="D85">IFERROR(_xlfn.IFS($B$8="Travel Plan",VLOOKUP(D81,Table2[],5,FALSE),$B$8="Day Plan/Activities",VLOOKUP(D81,Table2[],6,FALSE),$B$8="Today's Budget",VLOOKUP(D81,Table2[],7,FALSE),$B$8="Notes",VLOOKUP(D81,Table2[],8,FALSE))," ")</f>
        <v>0</v>
      </c>
      <c r="E85" s="40" cm="1">
        <f t="array" ref="E85">IFERROR(_xlfn.IFS($B$8="Travel Plan",VLOOKUP(E81,Table2[],5,FALSE),$B$8="Day Plan/Activities",VLOOKUP(E81,Table2[],6,FALSE),$B$8="Today's Budget",VLOOKUP(E81,Table2[],7,FALSE),$B$8="Notes",VLOOKUP(E81,Table2[],8,FALSE))," ")</f>
        <v>0</v>
      </c>
      <c r="F85" s="42" cm="1">
        <f t="array" ref="F85">IFERROR(_xlfn.IFS($B$8="Travel Plan",VLOOKUP(F81,Table2[],5,FALSE),$B$8="Day Plan/Activities",VLOOKUP(F81,Table2[],6,FALSE),$B$8="Today's Budget",VLOOKUP(F81,Table2[],7,FALSE),$B$8="Notes",VLOOKUP(F81,Table2[],8,FALSE))," ")</f>
        <v>0</v>
      </c>
      <c r="G85" s="40" cm="1">
        <f t="array" ref="G85">IFERROR(_xlfn.IFS($B$8="Travel Plan",VLOOKUP(G81,Table2[],5,FALSE),$B$8="Day Plan/Activities",VLOOKUP(G81,Table2[],6,FALSE),$B$8="Today's Budget",VLOOKUP(G81,Table2[],7,FALSE),$B$8="Notes",VLOOKUP(G81,Table2[],8,FALSE))," ")</f>
        <v>0</v>
      </c>
      <c r="H85" s="40" cm="1">
        <f t="array" ref="H85">IFERROR(_xlfn.IFS($B$8="Travel Plan",VLOOKUP(H81,Table2[],5,FALSE),$B$8="Day Plan/Activities",VLOOKUP(H81,Table2[],6,FALSE),$B$8="Today's Budget",VLOOKUP(H81,Table2[],7,FALSE),$B$8="Notes",VLOOKUP(H81,Table2[],8,FALSE))," ")</f>
        <v>0</v>
      </c>
    </row>
    <row r="86" spans="2:8" x14ac:dyDescent="0.35">
      <c r="B86" s="39">
        <f>'Itinerary-CODE'!B18</f>
        <v>45116</v>
      </c>
      <c r="C86" s="39">
        <f>'Itinerary-CODE'!C18</f>
        <v>45117</v>
      </c>
      <c r="D86" s="39">
        <f>'Itinerary-CODE'!D18</f>
        <v>45118</v>
      </c>
      <c r="E86" s="39">
        <f>'Itinerary-CODE'!E18</f>
        <v>45119</v>
      </c>
      <c r="F86" s="39">
        <f>'Itinerary-CODE'!F18</f>
        <v>45120</v>
      </c>
      <c r="G86" s="39">
        <f>'Itinerary-CODE'!G18</f>
        <v>45121</v>
      </c>
      <c r="H86" s="39">
        <f>'Itinerary-CODE'!H18</f>
        <v>45122</v>
      </c>
    </row>
    <row r="87" spans="2:8" x14ac:dyDescent="0.35">
      <c r="B87" s="111" t="str">
        <f>IFERROR(VLOOKUP(B86,Itinerary!$B$9:$E$108,2,FALSE)," ")</f>
        <v xml:space="preserve"> </v>
      </c>
      <c r="C87" s="111" t="str">
        <f>IFERROR(VLOOKUP(C86,Itinerary!$B$9:$E$108,2,FALSE)," ")</f>
        <v xml:space="preserve"> </v>
      </c>
      <c r="D87" s="111" t="str">
        <f>IFERROR(VLOOKUP(D86,Itinerary!$B$9:$E$108,2,FALSE)," ")</f>
        <v xml:space="preserve"> </v>
      </c>
      <c r="E87" s="111" t="str">
        <f>IFERROR(VLOOKUP(E86,Itinerary!$B$9:$E$108,2,FALSE)," ")</f>
        <v xml:space="preserve"> </v>
      </c>
      <c r="F87" s="111" t="str">
        <f>IFERROR(VLOOKUP(F86,Itinerary!$B$9:$E$108,2,FALSE)," ")</f>
        <v xml:space="preserve"> </v>
      </c>
      <c r="G87" s="111" t="str">
        <f>IFERROR(VLOOKUP(G86,Itinerary!$B$9:$E$108,2,FALSE)," ")</f>
        <v xml:space="preserve"> </v>
      </c>
      <c r="H87" s="111" t="str">
        <f>IFERROR(VLOOKUP(H86,Itinerary!$B$9:$E$108,2,FALSE)," ")</f>
        <v xml:space="preserve"> </v>
      </c>
    </row>
    <row r="88" spans="2:8" s="124" customFormat="1" x14ac:dyDescent="0.35">
      <c r="B88" s="126" t="str">
        <f>IFERROR(VLOOKUP(B86,Itinerary!$B$9:$E$108,3,FALSE)," ")</f>
        <v xml:space="preserve"> </v>
      </c>
      <c r="C88" s="126" t="str">
        <f>IFERROR(VLOOKUP(C86,Itinerary!$B$9:$E$108,3,FALSE)," ")</f>
        <v xml:space="preserve"> </v>
      </c>
      <c r="D88" s="126" t="str">
        <f>IFERROR(VLOOKUP(D86,Itinerary!$B$9:$E$108,3,FALSE)," ")</f>
        <v xml:space="preserve"> </v>
      </c>
      <c r="E88" s="126" t="str">
        <f>IFERROR(VLOOKUP(E86,Itinerary!$B$9:$E$108,3,FALSE)," ")</f>
        <v xml:space="preserve"> </v>
      </c>
      <c r="F88" s="126" t="str">
        <f>IFERROR(VLOOKUP(F86,Itinerary!$B$9:$E$108,3,FALSE)," ")</f>
        <v xml:space="preserve"> </v>
      </c>
      <c r="G88" s="126" t="str">
        <f>IFERROR(VLOOKUP(G86,Itinerary!$B$9:$E$108,3,FALSE)," ")</f>
        <v xml:space="preserve"> </v>
      </c>
      <c r="H88" s="126" t="str">
        <f>IFERROR(VLOOKUP(H86,Itinerary!$B$9:$E$108,3,FALSE)," ")</f>
        <v xml:space="preserve"> </v>
      </c>
    </row>
    <row r="89" spans="2:8" s="138" customFormat="1" x14ac:dyDescent="0.35">
      <c r="B89" s="139" t="str">
        <f>IFERROR(IF(VLOOKUP(B86,Itinerary!$B$9:$E$108,4,FALSE)="Yes","TRAVEL DAY"," ")," ")</f>
        <v xml:space="preserve"> </v>
      </c>
      <c r="C89" s="139" t="str">
        <f>IFERROR(IF(VLOOKUP(C86,Itinerary!$B$9:$E$108,4,FALSE)="Yes","TRAVEL DAY"," ")," ")</f>
        <v xml:space="preserve"> </v>
      </c>
      <c r="D89" s="139" t="str">
        <f>IFERROR(IF(VLOOKUP(D86,Itinerary!$B$9:$E$108,4,FALSE)="Yes","TRAVEL DAY"," ")," ")</f>
        <v xml:space="preserve"> </v>
      </c>
      <c r="E89" s="139" t="str">
        <f>IFERROR(IF(VLOOKUP(E86,Itinerary!$B$9:$E$108,4,FALSE)="Yes","TRAVEL DAY"," ")," ")</f>
        <v xml:space="preserve"> </v>
      </c>
      <c r="F89" s="139" t="str">
        <f>IFERROR(IF(VLOOKUP(F86,Itinerary!$B$9:$E$108,4,FALSE)="Yes","TRAVEL DAY"," ")," ")</f>
        <v xml:space="preserve"> </v>
      </c>
      <c r="G89" s="139" t="str">
        <f>IFERROR(IF(VLOOKUP(G86,Itinerary!$B$9:$E$108,4,FALSE)="Yes","TRAVEL DAY"," ")," ")</f>
        <v xml:space="preserve"> </v>
      </c>
      <c r="H89" s="139" t="str">
        <f>IFERROR(IF(VLOOKUP(H86,Itinerary!$B$9:$E$108,4,FALSE)="Yes","TRAVEL DAY"," ")," ")</f>
        <v xml:space="preserve"> </v>
      </c>
    </row>
    <row r="90" spans="2:8" ht="58.25" customHeight="1" thickBot="1" x14ac:dyDescent="0.4">
      <c r="B90" s="131" cm="1">
        <f t="array" ref="B90">IFERROR(_xlfn.IFS($B$8="Travel Plan",VLOOKUP(B86,Table2[],5,FALSE),$B$8="Day Plan/Activities",VLOOKUP(B86,Table2[],6,FALSE),$B$8="Today's Budget",VLOOKUP(B86,Table2[],7,FALSE),$B$8="Notes",VLOOKUP(B86,Table2[],8,FALSE))," ")</f>
        <v>0</v>
      </c>
      <c r="C90" s="131" cm="1">
        <f t="array" ref="C90">IFERROR(_xlfn.IFS($B$8="Travel Plan",VLOOKUP(C86,Table2[],5,FALSE),$B$8="Day Plan/Activities",VLOOKUP(C86,Table2[],6,FALSE),$B$8="Today's Budget",VLOOKUP(C86,Table2[],7,FALSE),$B$8="Notes",VLOOKUP(C86,Table2[],8,FALSE))," ")</f>
        <v>0</v>
      </c>
      <c r="D90" s="131" cm="1">
        <f t="array" ref="D90">IFERROR(_xlfn.IFS($B$8="Travel Plan",VLOOKUP(D86,Table2[],5,FALSE),$B$8="Day Plan/Activities",VLOOKUP(D86,Table2[],6,FALSE),$B$8="Today's Budget",VLOOKUP(D86,Table2[],7,FALSE),$B$8="Notes",VLOOKUP(D86,Table2[],8,FALSE))," ")</f>
        <v>0</v>
      </c>
      <c r="E90" s="131" cm="1">
        <f t="array" ref="E90">IFERROR(_xlfn.IFS($B$8="Travel Plan",VLOOKUP(E86,Table2[],5,FALSE),$B$8="Day Plan/Activities",VLOOKUP(E86,Table2[],6,FALSE),$B$8="Today's Budget",VLOOKUP(E86,Table2[],7,FALSE),$B$8="Notes",VLOOKUP(E86,Table2[],8,FALSE))," ")</f>
        <v>0</v>
      </c>
      <c r="F90" s="131" cm="1">
        <f t="array" ref="F90">IFERROR(_xlfn.IFS($B$8="Travel Plan",VLOOKUP(F86,Table2[],5,FALSE),$B$8="Day Plan/Activities",VLOOKUP(F86,Table2[],6,FALSE),$B$8="Today's Budget",VLOOKUP(F86,Table2[],7,FALSE),$B$8="Notes",VLOOKUP(F86,Table2[],8,FALSE))," ")</f>
        <v>0</v>
      </c>
      <c r="G90" s="131" cm="1">
        <f t="array" ref="G90">IFERROR(_xlfn.IFS($B$8="Travel Plan",VLOOKUP(G86,Table2[],5,FALSE),$B$8="Day Plan/Activities",VLOOKUP(G86,Table2[],6,FALSE),$B$8="Today's Budget",VLOOKUP(G86,Table2[],7,FALSE),$B$8="Notes",VLOOKUP(G86,Table2[],8,FALSE))," ")</f>
        <v>0</v>
      </c>
      <c r="H90" s="131" cm="1">
        <f t="array" ref="H90">IFERROR(_xlfn.IFS($B$8="Travel Plan",VLOOKUP(H86,Table2[],5,FALSE),$B$8="Day Plan/Activities",VLOOKUP(H86,Table2[],6,FALSE),$B$8="Today's Budget",VLOOKUP(H86,Table2[],7,FALSE),$B$8="Notes",VLOOKUP(H86,Table2[],8,FALSE))," ")</f>
        <v>0</v>
      </c>
    </row>
    <row r="91" spans="2:8" x14ac:dyDescent="0.35">
      <c r="B91" s="105">
        <f>'Itinerary-CODE'!B19</f>
        <v>45123</v>
      </c>
      <c r="C91" s="105">
        <f>'Itinerary-CODE'!C19</f>
        <v>45124</v>
      </c>
      <c r="D91" s="105">
        <f>'Itinerary-CODE'!D19</f>
        <v>45125</v>
      </c>
      <c r="E91" s="105">
        <f>'Itinerary-CODE'!E19</f>
        <v>45126</v>
      </c>
      <c r="F91" s="105">
        <f>'Itinerary-CODE'!F19</f>
        <v>45127</v>
      </c>
      <c r="G91" s="105">
        <f>'Itinerary-CODE'!G19</f>
        <v>45128</v>
      </c>
      <c r="H91" s="105">
        <f>'Itinerary-CODE'!H19</f>
        <v>45129</v>
      </c>
    </row>
    <row r="92" spans="2:8" x14ac:dyDescent="0.35">
      <c r="B92" s="110" t="str">
        <f>IFERROR(VLOOKUP(B91,Itinerary!$B$9:$E$108,2,FALSE)," ")</f>
        <v xml:space="preserve"> </v>
      </c>
      <c r="C92" s="110" t="str">
        <f>IFERROR(VLOOKUP(C91,Itinerary!$B$9:$E$108,2,FALSE)," ")</f>
        <v xml:space="preserve"> </v>
      </c>
      <c r="D92" s="110" t="str">
        <f>IFERROR(VLOOKUP(D91,Itinerary!$B$9:$E$108,2,FALSE)," ")</f>
        <v xml:space="preserve"> </v>
      </c>
      <c r="E92" s="110" t="str">
        <f>IFERROR(VLOOKUP(E91,Itinerary!$B$9:$E$108,2,FALSE)," ")</f>
        <v xml:space="preserve"> </v>
      </c>
      <c r="F92" s="110" t="str">
        <f>IFERROR(VLOOKUP(F91,Itinerary!$B$9:$E$108,2,FALSE)," ")</f>
        <v xml:space="preserve"> </v>
      </c>
      <c r="G92" s="110" t="str">
        <f>IFERROR(VLOOKUP(G91,Itinerary!$B$9:$E$108,2,FALSE)," ")</f>
        <v xml:space="preserve"> </v>
      </c>
      <c r="H92" s="110" t="str">
        <f>IFERROR(VLOOKUP(H91,Itinerary!$B$9:$E$108,2,FALSE)," ")</f>
        <v xml:space="preserve"> </v>
      </c>
    </row>
    <row r="93" spans="2:8" s="124" customFormat="1" x14ac:dyDescent="0.35">
      <c r="B93" s="125" t="str">
        <f>IFERROR(VLOOKUP(B91,Itinerary!$B$9:$E$108,3,FALSE)," ")</f>
        <v xml:space="preserve"> </v>
      </c>
      <c r="C93" s="125" t="str">
        <f>IFERROR(VLOOKUP(C91,Itinerary!$B$9:$E$108,3,FALSE)," ")</f>
        <v xml:space="preserve"> </v>
      </c>
      <c r="D93" s="125" t="str">
        <f>IFERROR(VLOOKUP(D91,Itinerary!$B$9:$E$108,3,FALSE)," ")</f>
        <v xml:space="preserve"> </v>
      </c>
      <c r="E93" s="125" t="str">
        <f>IFERROR(VLOOKUP(E91,Itinerary!$B$9:$E$108,3,FALSE)," ")</f>
        <v xml:space="preserve"> </v>
      </c>
      <c r="F93" s="125" t="str">
        <f>IFERROR(VLOOKUP(F91,Itinerary!$B$9:$E$108,3,FALSE)," ")</f>
        <v xml:space="preserve"> </v>
      </c>
      <c r="G93" s="125" t="str">
        <f>IFERROR(VLOOKUP(G91,Itinerary!$B$9:$E$108,3,FALSE)," ")</f>
        <v xml:space="preserve"> </v>
      </c>
      <c r="H93" s="125" t="str">
        <f>IFERROR(VLOOKUP(H91,Itinerary!$B$9:$E$108,3,FALSE)," ")</f>
        <v xml:space="preserve"> </v>
      </c>
    </row>
    <row r="94" spans="2:8" s="138" customFormat="1" x14ac:dyDescent="0.35">
      <c r="B94" s="143" t="str">
        <f>IFERROR(IF(VLOOKUP(B91,Itinerary!$B$9:$E$108,4,FALSE)="Yes","TRAVEL DAY"," ")," ")</f>
        <v xml:space="preserve"> </v>
      </c>
      <c r="C94" s="143" t="str">
        <f>IFERROR(IF(VLOOKUP(C91,Itinerary!$B$9:$E$108,4,FALSE)="Yes","TRAVEL DAY"," ")," ")</f>
        <v xml:space="preserve"> </v>
      </c>
      <c r="D94" s="143" t="str">
        <f>IFERROR(IF(VLOOKUP(D91,Itinerary!$B$9:$E$108,4,FALSE)="Yes","TRAVEL DAY"," ")," ")</f>
        <v xml:space="preserve"> </v>
      </c>
      <c r="E94" s="143" t="str">
        <f>IFERROR(IF(VLOOKUP(E91,Itinerary!$B$9:$E$108,4,FALSE)="Yes","TRAVEL DAY"," ")," ")</f>
        <v xml:space="preserve"> </v>
      </c>
      <c r="F94" s="143" t="str">
        <f>IFERROR(IF(VLOOKUP(F91,Itinerary!$B$9:$E$108,4,FALSE)="Yes","TRAVEL DAY"," ")," ")</f>
        <v xml:space="preserve"> </v>
      </c>
      <c r="G94" s="143" t="str">
        <f>IFERROR(IF(VLOOKUP(G91,Itinerary!$B$9:$E$108,4,FALSE)="Yes","TRAVEL DAY"," ")," ")</f>
        <v xml:space="preserve"> </v>
      </c>
      <c r="H94" s="143" t="str">
        <f>IFERROR(IF(VLOOKUP(H91,Itinerary!$B$9:$E$108,4,FALSE)="Yes","TRAVEL DAY"," ")," ")</f>
        <v xml:space="preserve"> </v>
      </c>
    </row>
    <row r="95" spans="2:8" ht="58.25" customHeight="1" thickBot="1" x14ac:dyDescent="0.4">
      <c r="B95" s="40" cm="1">
        <f t="array" ref="B95">IFERROR(_xlfn.IFS($B$8="Travel Plan",VLOOKUP(B91,Table2[],5,FALSE),$B$8="Day Plan/Activities",VLOOKUP(B91,Table2[],6,FALSE),$B$8="Today's Budget",VLOOKUP(B91,Table2[],7,FALSE),$B$8="Notes",VLOOKUP(B91,Table2[],8,FALSE))," ")</f>
        <v>0</v>
      </c>
      <c r="C95" s="40" cm="1">
        <f t="array" ref="C95">IFERROR(_xlfn.IFS($B$8="Travel Plan",VLOOKUP(C91,Table2[],5,FALSE),$B$8="Day Plan/Activities",VLOOKUP(C91,Table2[],6,FALSE),$B$8="Today's Budget",VLOOKUP(C91,Table2[],7,FALSE),$B$8="Notes",VLOOKUP(C91,Table2[],8,FALSE))," ")</f>
        <v>0</v>
      </c>
      <c r="D95" s="40" cm="1">
        <f t="array" ref="D95">IFERROR(_xlfn.IFS($B$8="Travel Plan",VLOOKUP(D91,Table2[],5,FALSE),$B$8="Day Plan/Activities",VLOOKUP(D91,Table2[],6,FALSE),$B$8="Today's Budget",VLOOKUP(D91,Table2[],7,FALSE),$B$8="Notes",VLOOKUP(D91,Table2[],8,FALSE))," ")</f>
        <v>0</v>
      </c>
      <c r="E95" s="40" cm="1">
        <f t="array" ref="E95">IFERROR(_xlfn.IFS($B$8="Travel Plan",VLOOKUP(E91,Table2[],5,FALSE),$B$8="Day Plan/Activities",VLOOKUP(E91,Table2[],6,FALSE),$B$8="Today's Budget",VLOOKUP(E91,Table2[],7,FALSE),$B$8="Notes",VLOOKUP(E91,Table2[],8,FALSE))," ")</f>
        <v>0</v>
      </c>
      <c r="F95" s="42" cm="1">
        <f t="array" ref="F95">IFERROR(_xlfn.IFS($B$8="Travel Plan",VLOOKUP(F91,Table2[],5,FALSE),$B$8="Day Plan/Activities",VLOOKUP(F91,Table2[],6,FALSE),$B$8="Today's Budget",VLOOKUP(F91,Table2[],7,FALSE),$B$8="Notes",VLOOKUP(F91,Table2[],8,FALSE))," ")</f>
        <v>0</v>
      </c>
      <c r="G95" s="40" cm="1">
        <f t="array" ref="G95">IFERROR(_xlfn.IFS($B$8="Travel Plan",VLOOKUP(G91,Table2[],5,FALSE),$B$8="Day Plan/Activities",VLOOKUP(G91,Table2[],6,FALSE),$B$8="Today's Budget",VLOOKUP(G91,Table2[],7,FALSE),$B$8="Notes",VLOOKUP(G91,Table2[],8,FALSE))," ")</f>
        <v>0</v>
      </c>
      <c r="H95" s="40" cm="1">
        <f t="array" ref="H95">IFERROR(_xlfn.IFS($B$8="Travel Plan",VLOOKUP(H91,Table2[],5,FALSE),$B$8="Day Plan/Activities",VLOOKUP(H91,Table2[],6,FALSE),$B$8="Today's Budget",VLOOKUP(H91,Table2[],7,FALSE),$B$8="Notes",VLOOKUP(H91,Table2[],8,FALSE))," ")</f>
        <v>0</v>
      </c>
    </row>
    <row r="96" spans="2:8" x14ac:dyDescent="0.35">
      <c r="B96" s="39">
        <f>'Itinerary-CODE'!B20</f>
        <v>45130</v>
      </c>
      <c r="C96" s="39">
        <f>'Itinerary-CODE'!C20</f>
        <v>45131</v>
      </c>
      <c r="D96" s="39">
        <f>'Itinerary-CODE'!D20</f>
        <v>45132</v>
      </c>
      <c r="E96" s="39">
        <f>'Itinerary-CODE'!E20</f>
        <v>45133</v>
      </c>
      <c r="F96" s="39">
        <f>'Itinerary-CODE'!F20</f>
        <v>45134</v>
      </c>
      <c r="G96" s="39">
        <f>'Itinerary-CODE'!G20</f>
        <v>45135</v>
      </c>
      <c r="H96" s="39">
        <f>'Itinerary-CODE'!H20</f>
        <v>45136</v>
      </c>
    </row>
    <row r="97" spans="2:8" x14ac:dyDescent="0.35">
      <c r="B97" s="111" t="str">
        <f>IFERROR(VLOOKUP(B96,Itinerary!$B$9:$E$108,2,FALSE)," ")</f>
        <v xml:space="preserve"> </v>
      </c>
      <c r="C97" s="111" t="str">
        <f>IFERROR(VLOOKUP(C96,Itinerary!$B$9:$E$108,2,FALSE)," ")</f>
        <v xml:space="preserve"> </v>
      </c>
      <c r="D97" s="111" t="str">
        <f>IFERROR(VLOOKUP(D96,Itinerary!$B$9:$E$108,2,FALSE)," ")</f>
        <v xml:space="preserve"> </v>
      </c>
      <c r="E97" s="111" t="str">
        <f>IFERROR(VLOOKUP(E96,Itinerary!$B$9:$E$108,2,FALSE)," ")</f>
        <v xml:space="preserve"> </v>
      </c>
      <c r="F97" s="111" t="str">
        <f>IFERROR(VLOOKUP(F96,Itinerary!$B$9:$E$108,2,FALSE)," ")</f>
        <v xml:space="preserve"> </v>
      </c>
      <c r="G97" s="111" t="str">
        <f>IFERROR(VLOOKUP(G96,Itinerary!$B$9:$E$108,2,FALSE)," ")</f>
        <v xml:space="preserve"> </v>
      </c>
      <c r="H97" s="111" t="str">
        <f>IFERROR(VLOOKUP(H96,Itinerary!$B$9:$E$108,2,FALSE)," ")</f>
        <v xml:space="preserve"> </v>
      </c>
    </row>
    <row r="98" spans="2:8" s="124" customFormat="1" x14ac:dyDescent="0.35">
      <c r="B98" s="126" t="str">
        <f>IFERROR(VLOOKUP(B96,Itinerary!$B$9:$E$108,3,FALSE)," ")</f>
        <v xml:space="preserve"> </v>
      </c>
      <c r="C98" s="126" t="str">
        <f>IFERROR(VLOOKUP(C96,Itinerary!$B$9:$E$108,3,FALSE)," ")</f>
        <v xml:space="preserve"> </v>
      </c>
      <c r="D98" s="126" t="str">
        <f>IFERROR(VLOOKUP(D96,Itinerary!$B$9:$E$108,3,FALSE)," ")</f>
        <v xml:space="preserve"> </v>
      </c>
      <c r="E98" s="126" t="str">
        <f>IFERROR(VLOOKUP(E96,Itinerary!$B$9:$E$108,3,FALSE)," ")</f>
        <v xml:space="preserve"> </v>
      </c>
      <c r="F98" s="126" t="str">
        <f>IFERROR(VLOOKUP(F96,Itinerary!$B$9:$E$108,3,FALSE)," ")</f>
        <v xml:space="preserve"> </v>
      </c>
      <c r="G98" s="126" t="str">
        <f>IFERROR(VLOOKUP(G96,Itinerary!$B$9:$E$108,3,FALSE)," ")</f>
        <v xml:space="preserve"> </v>
      </c>
      <c r="H98" s="126" t="str">
        <f>IFERROR(VLOOKUP(H96,Itinerary!$B$9:$E$108,3,FALSE)," ")</f>
        <v xml:space="preserve"> </v>
      </c>
    </row>
    <row r="99" spans="2:8" s="138" customFormat="1" x14ac:dyDescent="0.35">
      <c r="B99" s="139" t="str">
        <f>IFERROR(IF(VLOOKUP(B96,Itinerary!$B$9:$E$108,4,FALSE)="Yes","TRAVEL DAY"," ")," ")</f>
        <v xml:space="preserve"> </v>
      </c>
      <c r="C99" s="139" t="str">
        <f>IFERROR(IF(VLOOKUP(C96,Itinerary!$B$9:$E$108,4,FALSE)="Yes","TRAVEL DAY"," ")," ")</f>
        <v xml:space="preserve"> </v>
      </c>
      <c r="D99" s="139" t="str">
        <f>IFERROR(IF(VLOOKUP(D96,Itinerary!$B$9:$E$108,4,FALSE)="Yes","TRAVEL DAY"," ")," ")</f>
        <v xml:space="preserve"> </v>
      </c>
      <c r="E99" s="139" t="str">
        <f>IFERROR(IF(VLOOKUP(E96,Itinerary!$B$9:$E$108,4,FALSE)="Yes","TRAVEL DAY"," ")," ")</f>
        <v xml:space="preserve"> </v>
      </c>
      <c r="F99" s="139" t="str">
        <f>IFERROR(IF(VLOOKUP(F96,Itinerary!$B$9:$E$108,4,FALSE)="Yes","TRAVEL DAY"," ")," ")</f>
        <v xml:space="preserve"> </v>
      </c>
      <c r="G99" s="139" t="str">
        <f>IFERROR(IF(VLOOKUP(G96,Itinerary!$B$9:$E$108,4,FALSE)="Yes","TRAVEL DAY"," ")," ")</f>
        <v xml:space="preserve"> </v>
      </c>
      <c r="H99" s="139" t="str">
        <f>IFERROR(IF(VLOOKUP(H96,Itinerary!$B$9:$E$108,4,FALSE)="Yes","TRAVEL DAY"," ")," ")</f>
        <v xml:space="preserve"> </v>
      </c>
    </row>
    <row r="100" spans="2:8" ht="58.25" customHeight="1" thickBot="1" x14ac:dyDescent="0.4">
      <c r="B100" s="131" cm="1">
        <f t="array" ref="B100">IFERROR(_xlfn.IFS($B$8="Travel Plan",VLOOKUP(B96,Table2[],5,FALSE),$B$8="Day Plan/Activities",VLOOKUP(B96,Table2[],6,FALSE),$B$8="Today's Budget",VLOOKUP(B96,Table2[],7,FALSE),$B$8="Notes",VLOOKUP(B96,Table2[],8,FALSE))," ")</f>
        <v>0</v>
      </c>
      <c r="C100" s="131" cm="1">
        <f t="array" ref="C100">IFERROR(_xlfn.IFS($B$8="Travel Plan",VLOOKUP(C96,Table2[],5,FALSE),$B$8="Day Plan/Activities",VLOOKUP(C96,Table2[],6,FALSE),$B$8="Today's Budget",VLOOKUP(C96,Table2[],7,FALSE),$B$8="Notes",VLOOKUP(C96,Table2[],8,FALSE))," ")</f>
        <v>0</v>
      </c>
      <c r="D100" s="131" cm="1">
        <f t="array" ref="D100">IFERROR(_xlfn.IFS($B$8="Travel Plan",VLOOKUP(D96,Table2[],5,FALSE),$B$8="Day Plan/Activities",VLOOKUP(D96,Table2[],6,FALSE),$B$8="Today's Budget",VLOOKUP(D96,Table2[],7,FALSE),$B$8="Notes",VLOOKUP(D96,Table2[],8,FALSE))," ")</f>
        <v>0</v>
      </c>
      <c r="E100" s="131" cm="1">
        <f t="array" ref="E100">IFERROR(_xlfn.IFS($B$8="Travel Plan",VLOOKUP(E96,Table2[],5,FALSE),$B$8="Day Plan/Activities",VLOOKUP(E96,Table2[],6,FALSE),$B$8="Today's Budget",VLOOKUP(E96,Table2[],7,FALSE),$B$8="Notes",VLOOKUP(E96,Table2[],8,FALSE))," ")</f>
        <v>0</v>
      </c>
      <c r="F100" s="131" cm="1">
        <f t="array" ref="F100">IFERROR(_xlfn.IFS($B$8="Travel Plan",VLOOKUP(F96,Table2[],5,FALSE),$B$8="Day Plan/Activities",VLOOKUP(F96,Table2[],6,FALSE),$B$8="Today's Budget",VLOOKUP(F96,Table2[],7,FALSE),$B$8="Notes",VLOOKUP(F96,Table2[],8,FALSE))," ")</f>
        <v>0</v>
      </c>
      <c r="G100" s="131" cm="1">
        <f t="array" ref="G100">IFERROR(_xlfn.IFS($B$8="Travel Plan",VLOOKUP(G96,Table2[],5,FALSE),$B$8="Day Plan/Activities",VLOOKUP(G96,Table2[],6,FALSE),$B$8="Today's Budget",VLOOKUP(G96,Table2[],7,FALSE),$B$8="Notes",VLOOKUP(G96,Table2[],8,FALSE))," ")</f>
        <v>0</v>
      </c>
      <c r="H100" s="131" cm="1">
        <f t="array" ref="H100">IFERROR(_xlfn.IFS($B$8="Travel Plan",VLOOKUP(H96,Table2[],5,FALSE),$B$8="Day Plan/Activities",VLOOKUP(H96,Table2[],6,FALSE),$B$8="Today's Budget",VLOOKUP(H96,Table2[],7,FALSE),$B$8="Notes",VLOOKUP(H96,Table2[],8,FALSE))," ")</f>
        <v>0</v>
      </c>
    </row>
    <row r="101" spans="2:8" x14ac:dyDescent="0.35">
      <c r="B101" s="101">
        <f>'Itinerary-CODE'!B21</f>
        <v>45137</v>
      </c>
      <c r="C101" s="101"/>
      <c r="D101" s="101"/>
      <c r="E101" s="246"/>
      <c r="F101" s="247"/>
      <c r="G101" s="247"/>
      <c r="H101" s="248"/>
    </row>
    <row r="102" spans="2:8" x14ac:dyDescent="0.35">
      <c r="B102" s="110" t="str">
        <f>IFERROR(VLOOKUP(B101,Itinerary!$B$9:$E$108,2,FALSE)," ")</f>
        <v xml:space="preserve"> </v>
      </c>
      <c r="C102" s="110" t="str">
        <f>IFERROR(VLOOKUP(C101,Itinerary!$B$9:$E$108,2,FALSE)," ")</f>
        <v xml:space="preserve"> </v>
      </c>
      <c r="D102" s="110" t="str">
        <f>IFERROR(VLOOKUP(D101,Itinerary!$B$9:$E$108,2,FALSE)," ")</f>
        <v xml:space="preserve"> </v>
      </c>
      <c r="E102" s="249"/>
      <c r="F102" s="250"/>
      <c r="G102" s="250"/>
      <c r="H102" s="251"/>
    </row>
    <row r="103" spans="2:8" s="124" customFormat="1" x14ac:dyDescent="0.35">
      <c r="B103" s="125" t="str">
        <f>IFERROR(VLOOKUP(B101,Itinerary!$B$9:$E$108,3,FALSE)," ")</f>
        <v xml:space="preserve"> </v>
      </c>
      <c r="C103" s="125" t="str">
        <f>IFERROR(VLOOKUP(C101,Itinerary!$B$9:$E$108,3,FALSE)," ")</f>
        <v xml:space="preserve"> </v>
      </c>
      <c r="D103" s="125" t="str">
        <f>IFERROR(VLOOKUP(D101,Itinerary!$B$9:$E$108,3,FALSE)," ")</f>
        <v xml:space="preserve"> </v>
      </c>
      <c r="E103" s="249"/>
      <c r="F103" s="250"/>
      <c r="G103" s="250"/>
      <c r="H103" s="251"/>
    </row>
    <row r="104" spans="2:8" s="138" customFormat="1" x14ac:dyDescent="0.35">
      <c r="B104" s="143" t="str">
        <f>IFERROR(IF(VLOOKUP(B101,Itinerary!$B$9:$E$108,4,FALSE)="Yes","TRAVEL DAY"," ")," ")</f>
        <v xml:space="preserve"> </v>
      </c>
      <c r="C104" s="143" t="str">
        <f>IFERROR(IF(VLOOKUP(C101,Itinerary!$B$9:$E$108,4,FALSE)="Yes","TRAVEL DAY"," ")," ")</f>
        <v xml:space="preserve"> </v>
      </c>
      <c r="D104" s="143" t="str">
        <f>IFERROR(IF(VLOOKUP(D101,Itinerary!$B$9:$E$108,4,FALSE)="Yes","TRAVEL DAY"," ")," ")</f>
        <v xml:space="preserve"> </v>
      </c>
      <c r="E104" s="249"/>
      <c r="F104" s="250"/>
      <c r="G104" s="250"/>
      <c r="H104" s="251"/>
    </row>
    <row r="105" spans="2:8" ht="58.25" customHeight="1" thickBot="1" x14ac:dyDescent="0.4">
      <c r="B105" s="102"/>
      <c r="C105" s="103"/>
      <c r="D105" s="102"/>
      <c r="E105" s="252"/>
      <c r="F105" s="253"/>
      <c r="G105" s="253"/>
      <c r="H105" s="254"/>
    </row>
  </sheetData>
  <mergeCells count="5">
    <mergeCell ref="E101:H105"/>
    <mergeCell ref="B74:D74"/>
    <mergeCell ref="E37:H41"/>
    <mergeCell ref="B42:D42"/>
    <mergeCell ref="E69:H73"/>
  </mergeCells>
  <phoneticPr fontId="6" type="noConversion"/>
  <conditionalFormatting sqref="B32:H32 B37:C37 B39:C39">
    <cfRule type="expression" dxfId="12" priority="9">
      <formula>AND(DAY(B32)&gt;=1,DAY(B32)&lt;=15)</formula>
    </cfRule>
  </conditionalFormatting>
  <conditionalFormatting sqref="B12:H12">
    <cfRule type="expression" dxfId="11" priority="8">
      <formula>DAY(B12)&gt;8</formula>
    </cfRule>
  </conditionalFormatting>
  <conditionalFormatting sqref="B72:D72 B69:E69">
    <cfRule type="expression" dxfId="10" priority="7">
      <formula>AND(DAY(B69)&gt;=1,DAY(B69)&lt;=15)</formula>
    </cfRule>
  </conditionalFormatting>
  <conditionalFormatting sqref="B64:H64 G67:H67">
    <cfRule type="expression" dxfId="9" priority="6">
      <formula>AND(DAY(B64)&gt;=1,DAY(B64)&lt;=15)</formula>
    </cfRule>
  </conditionalFormatting>
  <conditionalFormatting sqref="B44:H44">
    <cfRule type="expression" dxfId="8" priority="5">
      <formula>DAY(B44)&gt;8</formula>
    </cfRule>
  </conditionalFormatting>
  <conditionalFormatting sqref="B101:E101">
    <cfRule type="expression" dxfId="7" priority="4">
      <formula>AND(DAY(B101)&gt;=1,DAY(B101)&lt;=15)</formula>
    </cfRule>
  </conditionalFormatting>
  <conditionalFormatting sqref="B96:H96">
    <cfRule type="expression" dxfId="6" priority="3">
      <formula>AND(DAY(B96)&gt;=1,DAY(B96)&lt;=15)</formula>
    </cfRule>
  </conditionalFormatting>
  <conditionalFormatting sqref="B76:H76">
    <cfRule type="expression" dxfId="5" priority="2">
      <formula>DAY(B76)&gt;8</formula>
    </cfRule>
  </conditionalFormatting>
  <conditionalFormatting sqref="B15:H15 B20:H20 B30:H30 B35:H35 B40:D40 B47:H47 B52:H52 B57:H57 B62:H62 B67:H67 B79:H79 B84:H84 B89:H89 B94:H94 B99:H99 B104:D104 B72:D72 B25:H25">
    <cfRule type="containsText" dxfId="4" priority="1" operator="containsText" text="TRAVEL DAY">
      <formula>NOT(ISERROR(SEARCH("TRAVEL DAY",B15)))</formula>
    </cfRule>
  </conditionalFormatting>
  <dataValidations count="1">
    <dataValidation type="list" allowBlank="1" showInputMessage="1" showErrorMessage="1" sqref="B8" xr:uid="{70AF079B-7D40-42DD-ACEC-49342D29B6DB}">
      <formula1>"Travel Plan,Day Plan/Activities,Today's Budget,Notes"</formula1>
    </dataValidation>
  </dataValidations>
  <printOptions horizontalCentered="1" verticalCentered="1"/>
  <pageMargins left="0.7" right="0.7" top="0.75" bottom="0.75" header="0.3" footer="0.3"/>
  <pageSetup scale="89" orientation="landscape" r:id="rId1"/>
  <headerFooter differentFirst="1" alignWithMargins="0">
    <oddFooter>Page &amp;P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20DBF-9924-47DC-AA48-59686AB403E4}">
  <sheetPr codeName="Sheet5">
    <tabColor theme="5"/>
  </sheetPr>
  <dimension ref="A1:W111"/>
  <sheetViews>
    <sheetView showGridLines="0" zoomScale="89" workbookViewId="0">
      <selection activeCell="G14" sqref="G14"/>
    </sheetView>
  </sheetViews>
  <sheetFormatPr defaultRowHeight="14.5" x14ac:dyDescent="0.35"/>
  <cols>
    <col min="1" max="1" width="3.1796875" customWidth="1"/>
    <col min="2" max="2" width="29.26953125" bestFit="1" customWidth="1"/>
    <col min="3" max="3" width="24" customWidth="1"/>
    <col min="4" max="4" width="38.1796875" customWidth="1"/>
    <col min="5" max="5" width="16.81640625" customWidth="1"/>
    <col min="6" max="6" width="30.6328125" customWidth="1"/>
    <col min="7" max="7" width="27.7265625" bestFit="1" customWidth="1"/>
    <col min="8" max="8" width="15.90625" customWidth="1"/>
    <col min="9" max="9" width="19.1796875" customWidth="1"/>
  </cols>
  <sheetData>
    <row r="1" spans="1:23" x14ac:dyDescent="0.35">
      <c r="A1" s="61"/>
      <c r="B1" s="61"/>
      <c r="C1" s="61"/>
      <c r="D1" s="61"/>
      <c r="E1" s="61"/>
      <c r="F1" s="61"/>
      <c r="G1" s="61"/>
      <c r="H1" s="61"/>
      <c r="I1" s="61"/>
      <c r="J1" s="61"/>
      <c r="K1" s="61"/>
      <c r="L1" s="61"/>
      <c r="M1" s="61"/>
      <c r="N1" s="61"/>
      <c r="O1" s="61"/>
      <c r="P1" s="61"/>
      <c r="Q1" s="61"/>
      <c r="R1" s="61"/>
      <c r="S1" s="61"/>
      <c r="T1" s="61"/>
      <c r="U1" s="61"/>
      <c r="V1" s="61"/>
      <c r="W1" s="61"/>
    </row>
    <row r="2" spans="1:23" ht="21" x14ac:dyDescent="0.5">
      <c r="A2" s="61"/>
      <c r="B2" s="264" t="s">
        <v>37</v>
      </c>
      <c r="C2" s="264"/>
      <c r="D2" s="264"/>
      <c r="E2" s="264"/>
      <c r="F2" s="264"/>
      <c r="G2" s="264"/>
      <c r="H2" s="264"/>
      <c r="I2" s="264"/>
      <c r="J2" s="264"/>
      <c r="K2" s="61"/>
      <c r="L2" s="61"/>
      <c r="M2" s="61"/>
      <c r="N2" s="61"/>
      <c r="O2" s="61"/>
      <c r="P2" s="61"/>
      <c r="Q2" s="61"/>
      <c r="R2" s="61"/>
      <c r="S2" s="61"/>
      <c r="T2" s="61"/>
      <c r="U2" s="61"/>
      <c r="V2" s="61"/>
      <c r="W2" s="61"/>
    </row>
    <row r="3" spans="1:23" x14ac:dyDescent="0.35">
      <c r="A3" s="61"/>
      <c r="B3" s="263" t="s">
        <v>94</v>
      </c>
      <c r="C3" s="263"/>
      <c r="D3" s="263"/>
      <c r="E3" s="263"/>
      <c r="F3" s="263"/>
      <c r="G3" s="263"/>
      <c r="H3" s="263"/>
      <c r="I3" s="263"/>
      <c r="J3" s="263"/>
      <c r="K3" s="61"/>
      <c r="L3" s="61"/>
      <c r="M3" s="61"/>
      <c r="N3" s="61"/>
      <c r="O3" s="61"/>
      <c r="P3" s="61"/>
      <c r="Q3" s="61"/>
      <c r="R3" s="61"/>
      <c r="S3" s="61"/>
      <c r="T3" s="61"/>
      <c r="U3" s="61"/>
      <c r="V3" s="61"/>
      <c r="W3" s="61"/>
    </row>
    <row r="4" spans="1:23" x14ac:dyDescent="0.35">
      <c r="A4" s="61"/>
      <c r="B4" s="61"/>
      <c r="C4" s="61"/>
      <c r="D4" s="61"/>
      <c r="E4" s="61"/>
      <c r="F4" s="61"/>
      <c r="G4" s="61"/>
      <c r="H4" s="61"/>
      <c r="I4" s="61"/>
      <c r="J4" s="61"/>
      <c r="K4" s="61"/>
      <c r="L4" s="61"/>
      <c r="M4" s="61"/>
      <c r="N4" s="61"/>
      <c r="O4" s="61"/>
      <c r="P4" s="61"/>
      <c r="Q4" s="61"/>
      <c r="R4" s="61"/>
      <c r="S4" s="61"/>
      <c r="T4" s="61"/>
      <c r="U4" s="61"/>
      <c r="V4" s="61"/>
      <c r="W4" s="61"/>
    </row>
    <row r="5" spans="1:23" x14ac:dyDescent="0.35">
      <c r="A5" s="61"/>
      <c r="B5" s="61"/>
      <c r="C5" s="61"/>
      <c r="D5" s="61"/>
      <c r="E5" s="61"/>
      <c r="F5" s="61"/>
      <c r="G5" s="61"/>
      <c r="H5" s="61"/>
      <c r="I5" s="61"/>
      <c r="J5" s="61"/>
      <c r="K5" s="61"/>
      <c r="L5" s="61"/>
      <c r="M5" s="61"/>
      <c r="N5" s="61"/>
      <c r="O5" s="61"/>
      <c r="P5" s="61"/>
      <c r="Q5" s="61"/>
      <c r="R5" s="61"/>
      <c r="S5" s="61"/>
      <c r="T5" s="61"/>
      <c r="U5" s="61"/>
      <c r="V5" s="61"/>
      <c r="W5" s="61"/>
    </row>
    <row r="6" spans="1:23" x14ac:dyDescent="0.35">
      <c r="A6" s="61"/>
      <c r="B6" s="61"/>
      <c r="C6" s="61"/>
      <c r="D6" s="61"/>
      <c r="E6" s="61"/>
      <c r="F6" s="61"/>
      <c r="G6" s="61"/>
      <c r="H6" s="61"/>
      <c r="I6" s="61"/>
      <c r="J6" s="61"/>
      <c r="K6" s="61"/>
      <c r="L6" s="61"/>
      <c r="M6" s="61"/>
      <c r="N6" s="61"/>
      <c r="O6" s="61"/>
      <c r="P6" s="61"/>
      <c r="Q6" s="61"/>
      <c r="R6" s="61"/>
      <c r="S6" s="61"/>
      <c r="T6" s="61"/>
      <c r="U6" s="61"/>
      <c r="V6" s="61"/>
      <c r="W6" s="61"/>
    </row>
    <row r="7" spans="1:23" x14ac:dyDescent="0.35">
      <c r="A7" s="61"/>
      <c r="B7" s="61"/>
      <c r="C7" s="61"/>
      <c r="D7" s="61"/>
      <c r="E7" s="61"/>
      <c r="F7" s="61"/>
      <c r="G7" s="61"/>
      <c r="H7" s="61"/>
      <c r="I7" s="61"/>
      <c r="J7" s="61"/>
      <c r="K7" s="61"/>
      <c r="L7" s="61"/>
      <c r="M7" s="61"/>
      <c r="N7" s="61"/>
      <c r="O7" s="61"/>
      <c r="P7" s="61"/>
      <c r="Q7" s="61"/>
      <c r="R7" s="61"/>
      <c r="S7" s="61"/>
      <c r="T7" s="61"/>
      <c r="U7" s="61"/>
      <c r="V7" s="61"/>
      <c r="W7" s="61"/>
    </row>
    <row r="8" spans="1:23" ht="15" thickBot="1" x14ac:dyDescent="0.4">
      <c r="A8" s="61"/>
      <c r="B8" s="133" t="s">
        <v>33</v>
      </c>
      <c r="C8" s="134" t="s">
        <v>12</v>
      </c>
      <c r="D8" s="135" t="s">
        <v>38</v>
      </c>
      <c r="E8" s="133" t="s">
        <v>78</v>
      </c>
      <c r="F8" s="134" t="s">
        <v>82</v>
      </c>
      <c r="G8" s="134" t="s">
        <v>83</v>
      </c>
      <c r="H8" s="132" t="s">
        <v>79</v>
      </c>
      <c r="I8" s="132" t="s">
        <v>21</v>
      </c>
      <c r="J8" s="61"/>
      <c r="K8" s="61"/>
      <c r="L8" s="61"/>
      <c r="M8" s="61"/>
      <c r="N8" s="61"/>
      <c r="O8" s="61"/>
      <c r="P8" s="61"/>
      <c r="Q8" s="61"/>
      <c r="R8" s="61"/>
      <c r="S8" s="61"/>
      <c r="T8" s="61"/>
      <c r="U8" s="61"/>
      <c r="V8" s="61"/>
      <c r="W8" s="61"/>
    </row>
    <row r="9" spans="1:23" x14ac:dyDescent="0.35">
      <c r="A9" s="61"/>
      <c r="B9" s="136">
        <f>DreamStartDate</f>
        <v>45071</v>
      </c>
      <c r="C9" s="137" t="str">
        <f>VLOOKUP(B9,'#1 Trip Dreaming'!$K$6:$M$30,3,TRUE)</f>
        <v>Barcelona, Spain</v>
      </c>
      <c r="D9" s="114" t="str">
        <f>IF(VLOOKUP(B9,'#2 Accomodations'!$B$7:$F$31,5,TRUE)=0," ",VLOOKUP(B9,'#2 Accomodations'!$B$7:$F$31,5,TRUE))</f>
        <v>TOC Hostel Barcelona</v>
      </c>
      <c r="E9" s="137" t="s">
        <v>52</v>
      </c>
      <c r="F9" s="188" t="s">
        <v>179</v>
      </c>
      <c r="G9" s="188"/>
      <c r="H9" s="189"/>
      <c r="I9" s="189"/>
      <c r="J9" s="61"/>
      <c r="K9" s="61"/>
      <c r="L9" s="61"/>
      <c r="M9" s="61"/>
      <c r="N9" s="61"/>
      <c r="O9" s="61"/>
      <c r="P9" s="61"/>
      <c r="Q9" s="61"/>
      <c r="R9" s="61"/>
      <c r="S9" s="61"/>
      <c r="T9" s="61"/>
      <c r="U9" s="61"/>
      <c r="V9" s="61"/>
      <c r="W9" s="61"/>
    </row>
    <row r="10" spans="1:23" x14ac:dyDescent="0.35">
      <c r="A10" s="61"/>
      <c r="B10" s="136">
        <f>B9+1</f>
        <v>45072</v>
      </c>
      <c r="C10" s="137" t="str">
        <f>VLOOKUP(B10,'#1 Trip Dreaming'!$K$6:$M$30,3,TRUE)</f>
        <v>Barcelona, Spain</v>
      </c>
      <c r="D10" s="114" t="str">
        <f>IF(VLOOKUP(B10,'#2 Accomodations'!$B$7:$F$31,5,TRUE)=0," ",VLOOKUP(B10,'#2 Accomodations'!$B$7:$F$31,5,TRUE))</f>
        <v>TOC Hostel Barcelona</v>
      </c>
      <c r="E10" s="137" t="str">
        <f>IF(Table2[[#This Row],[Location]]=C9," ", "Yes")</f>
        <v xml:space="preserve"> </v>
      </c>
      <c r="F10" s="188"/>
      <c r="G10" s="188" t="s">
        <v>180</v>
      </c>
      <c r="H10" s="188"/>
      <c r="I10" s="188"/>
      <c r="J10" s="61"/>
      <c r="K10" s="61"/>
      <c r="L10" s="61"/>
      <c r="M10" s="61"/>
      <c r="N10" s="61"/>
      <c r="O10" s="61"/>
      <c r="P10" s="61"/>
      <c r="Q10" s="61"/>
      <c r="R10" s="61"/>
      <c r="S10" s="61"/>
      <c r="T10" s="61"/>
      <c r="U10" s="61"/>
      <c r="V10" s="61"/>
      <c r="W10" s="61"/>
    </row>
    <row r="11" spans="1:23" x14ac:dyDescent="0.35">
      <c r="A11" s="61"/>
      <c r="B11" s="136">
        <f t="shared" ref="B11:B74" si="0">B10+1</f>
        <v>45073</v>
      </c>
      <c r="C11" s="137" t="str">
        <f>VLOOKUP(B11,'#1 Trip Dreaming'!$K$6:$M$30,3,TRUE)</f>
        <v>Mallorca, Spain</v>
      </c>
      <c r="D11" s="114" t="str">
        <f>IF(VLOOKUP(B11,'#2 Accomodations'!$B$7:$F$31,5,TRUE)=0," ",VLOOKUP(B11,'#2 Accomodations'!$B$7:$F$31,5,TRUE))</f>
        <v>El  Josemari</v>
      </c>
      <c r="E11" s="137" t="str">
        <f>IF(Table2[[#This Row],[Location]]=C10," ", "Yes")</f>
        <v>Yes</v>
      </c>
      <c r="F11" s="188" t="s">
        <v>175</v>
      </c>
      <c r="G11" s="188"/>
      <c r="H11" s="188"/>
      <c r="I11" s="188"/>
      <c r="J11" s="61"/>
      <c r="K11" s="61"/>
      <c r="L11" s="61"/>
      <c r="M11" s="61"/>
      <c r="N11" s="61"/>
      <c r="O11" s="61"/>
      <c r="P11" s="61"/>
      <c r="Q11" s="61"/>
      <c r="R11" s="61"/>
      <c r="S11" s="61"/>
      <c r="T11" s="61"/>
      <c r="U11" s="61"/>
      <c r="V11" s="61"/>
      <c r="W11" s="61"/>
    </row>
    <row r="12" spans="1:23" x14ac:dyDescent="0.35">
      <c r="A12" s="61"/>
      <c r="B12" s="136">
        <f t="shared" si="0"/>
        <v>45074</v>
      </c>
      <c r="C12" s="137" t="str">
        <f>VLOOKUP(B12,'#1 Trip Dreaming'!$K$6:$M$30,3,TRUE)</f>
        <v>Mallorca, Spain</v>
      </c>
      <c r="D12" s="114" t="str">
        <f>IF(VLOOKUP(B12,'#2 Accomodations'!$B$7:$F$31,5,TRUE)=0," ",VLOOKUP(B12,'#2 Accomodations'!$B$7:$F$31,5,TRUE))</f>
        <v>El  Josemari</v>
      </c>
      <c r="E12" s="137" t="str">
        <f>IF(Table2[[#This Row],[Location]]=C11," ", "Yes")</f>
        <v xml:space="preserve"> </v>
      </c>
      <c r="F12" s="188"/>
      <c r="G12" s="188"/>
      <c r="H12" s="188"/>
      <c r="I12" s="188"/>
      <c r="J12" s="61"/>
      <c r="K12" s="61"/>
      <c r="L12" s="61"/>
      <c r="M12" s="61"/>
      <c r="N12" s="61"/>
      <c r="O12" s="61"/>
      <c r="P12" s="61"/>
      <c r="Q12" s="61"/>
      <c r="R12" s="61"/>
      <c r="S12" s="61"/>
      <c r="T12" s="61"/>
      <c r="U12" s="61"/>
      <c r="V12" s="61"/>
      <c r="W12" s="61"/>
    </row>
    <row r="13" spans="1:23" x14ac:dyDescent="0.35">
      <c r="A13" s="61"/>
      <c r="B13" s="136">
        <f t="shared" si="0"/>
        <v>45075</v>
      </c>
      <c r="C13" s="137" t="str">
        <f>VLOOKUP(B13,'#1 Trip Dreaming'!$K$6:$M$30,3,TRUE)</f>
        <v>Mallorca, Spain</v>
      </c>
      <c r="D13" s="114" t="str">
        <f>IF(VLOOKUP(B13,'#2 Accomodations'!$B$7:$F$31,5,TRUE)=0," ",VLOOKUP(B13,'#2 Accomodations'!$B$7:$F$31,5,TRUE))</f>
        <v>El  Josemari</v>
      </c>
      <c r="E13" s="137" t="str">
        <f>IF(Table2[[#This Row],[Location]]=C12," ", "Yes")</f>
        <v xml:space="preserve"> </v>
      </c>
      <c r="F13" s="188"/>
      <c r="G13" s="188" t="s">
        <v>181</v>
      </c>
      <c r="H13" s="188"/>
      <c r="I13" s="188"/>
      <c r="J13" s="61"/>
      <c r="K13" s="61"/>
      <c r="L13" s="61"/>
      <c r="M13" s="61"/>
      <c r="N13" s="61"/>
      <c r="O13" s="61"/>
      <c r="P13" s="61"/>
      <c r="Q13" s="61"/>
      <c r="R13" s="61"/>
      <c r="S13" s="61"/>
      <c r="T13" s="61"/>
      <c r="U13" s="61"/>
      <c r="V13" s="61"/>
      <c r="W13" s="61"/>
    </row>
    <row r="14" spans="1:23" x14ac:dyDescent="0.35">
      <c r="A14" s="61"/>
      <c r="B14" s="136">
        <f t="shared" si="0"/>
        <v>45076</v>
      </c>
      <c r="C14" s="137" t="str">
        <f>VLOOKUP(B14,'#1 Trip Dreaming'!$K$6:$M$30,3,TRUE)</f>
        <v>Mallorca, Spain</v>
      </c>
      <c r="D14" s="114" t="str">
        <f>IF(VLOOKUP(B14,'#2 Accomodations'!$B$7:$F$31,5,TRUE)=0," ",VLOOKUP(B14,'#2 Accomodations'!$B$7:$F$31,5,TRUE))</f>
        <v>El  Josemari</v>
      </c>
      <c r="E14" s="137" t="str">
        <f>IF(Table2[[#This Row],[Location]]=C13," ", "Yes")</f>
        <v xml:space="preserve"> </v>
      </c>
      <c r="F14" s="188"/>
      <c r="G14" s="188"/>
      <c r="H14" s="188"/>
      <c r="I14" s="188"/>
      <c r="J14" s="61"/>
      <c r="K14" s="61"/>
      <c r="L14" s="61"/>
      <c r="M14" s="61"/>
      <c r="N14" s="61"/>
      <c r="O14" s="61"/>
      <c r="P14" s="61"/>
      <c r="Q14" s="61"/>
      <c r="R14" s="61"/>
      <c r="S14" s="61"/>
      <c r="T14" s="61"/>
      <c r="U14" s="61"/>
      <c r="V14" s="61"/>
      <c r="W14" s="61"/>
    </row>
    <row r="15" spans="1:23" x14ac:dyDescent="0.35">
      <c r="A15" s="61"/>
      <c r="B15" s="136">
        <f t="shared" si="0"/>
        <v>45077</v>
      </c>
      <c r="C15" s="137" t="str">
        <f>VLOOKUP(B15,'#1 Trip Dreaming'!$K$6:$M$30,3,TRUE)</f>
        <v>Ibiza, Spain</v>
      </c>
      <c r="D15" s="114" t="str">
        <f>IF(VLOOKUP(B15,'#2 Accomodations'!$B$7:$F$31,5,TRUE)=0," ",VLOOKUP(B15,'#2 Accomodations'!$B$7:$F$31,5,TRUE))</f>
        <v>Amistat Ibiza</v>
      </c>
      <c r="E15" s="137" t="str">
        <f>IF(Table2[[#This Row],[Location]]=C14," ", "Yes")</f>
        <v>Yes</v>
      </c>
      <c r="F15" s="188" t="s">
        <v>176</v>
      </c>
      <c r="G15" s="188"/>
      <c r="H15" s="188"/>
      <c r="I15" s="188"/>
      <c r="J15" s="61"/>
      <c r="K15" s="61"/>
      <c r="L15" s="61"/>
      <c r="M15" s="61"/>
      <c r="N15" s="61"/>
      <c r="O15" s="61"/>
      <c r="P15" s="61"/>
      <c r="Q15" s="61"/>
      <c r="R15" s="61"/>
      <c r="S15" s="61"/>
      <c r="T15" s="61"/>
      <c r="U15" s="61"/>
      <c r="V15" s="61"/>
      <c r="W15" s="61"/>
    </row>
    <row r="16" spans="1:23" x14ac:dyDescent="0.35">
      <c r="A16" s="61"/>
      <c r="B16" s="136">
        <f t="shared" si="0"/>
        <v>45078</v>
      </c>
      <c r="C16" s="137" t="str">
        <f>VLOOKUP(B16,'#1 Trip Dreaming'!$K$6:$M$30,3,TRUE)</f>
        <v>Ibiza, Spain</v>
      </c>
      <c r="D16" s="114" t="str">
        <f>IF(VLOOKUP(B16,'#2 Accomodations'!$B$7:$F$31,5,TRUE)=0," ",VLOOKUP(B16,'#2 Accomodations'!$B$7:$F$31,5,TRUE))</f>
        <v>Amistat Ibiza</v>
      </c>
      <c r="E16" s="137" t="str">
        <f>IF(Table2[[#This Row],[Location]]=C15," ", "Yes")</f>
        <v xml:space="preserve"> </v>
      </c>
      <c r="F16" s="188"/>
      <c r="G16" s="188"/>
      <c r="H16" s="188"/>
      <c r="I16" s="188"/>
      <c r="J16" s="61"/>
      <c r="K16" s="61"/>
      <c r="L16" s="61"/>
      <c r="M16" s="61"/>
      <c r="N16" s="61"/>
      <c r="O16" s="61"/>
      <c r="P16" s="61"/>
      <c r="Q16" s="61"/>
      <c r="R16" s="61"/>
      <c r="S16" s="61"/>
      <c r="T16" s="61"/>
      <c r="U16" s="61"/>
      <c r="V16" s="61"/>
      <c r="W16" s="61"/>
    </row>
    <row r="17" spans="1:23" x14ac:dyDescent="0.35">
      <c r="A17" s="61"/>
      <c r="B17" s="136">
        <f t="shared" si="0"/>
        <v>45079</v>
      </c>
      <c r="C17" s="137" t="str">
        <f>VLOOKUP(B17,'#1 Trip Dreaming'!$K$6:$M$30,3,TRUE)</f>
        <v>Barcelona, Spain</v>
      </c>
      <c r="D17" s="114" t="str">
        <f>IF(VLOOKUP(B17,'#2 Accomodations'!$B$7:$F$31,5,TRUE)=0," ",VLOOKUP(B17,'#2 Accomodations'!$B$7:$F$31,5,TRUE))</f>
        <v xml:space="preserve"> </v>
      </c>
      <c r="E17" s="137" t="str">
        <f>IF(Table2[[#This Row],[Location]]=C16," ", "Yes")</f>
        <v>Yes</v>
      </c>
      <c r="F17" s="188" t="s">
        <v>177</v>
      </c>
      <c r="G17" s="188"/>
      <c r="H17" s="188"/>
      <c r="I17" s="188"/>
      <c r="J17" s="61"/>
      <c r="K17" s="61"/>
      <c r="L17" s="61"/>
      <c r="M17" s="61"/>
      <c r="N17" s="61"/>
      <c r="O17" s="61"/>
      <c r="P17" s="61"/>
      <c r="Q17" s="61"/>
      <c r="R17" s="61"/>
      <c r="S17" s="61"/>
      <c r="T17" s="61"/>
      <c r="U17" s="61"/>
      <c r="V17" s="61"/>
      <c r="W17" s="61"/>
    </row>
    <row r="18" spans="1:23" x14ac:dyDescent="0.35">
      <c r="A18" s="61"/>
      <c r="B18" s="136">
        <f t="shared" si="0"/>
        <v>45080</v>
      </c>
      <c r="C18" s="137" t="str">
        <f>VLOOKUP(B18,'#1 Trip Dreaming'!$K$6:$M$30,3,TRUE)</f>
        <v xml:space="preserve"> </v>
      </c>
      <c r="D18" s="114" t="str">
        <f>IF(VLOOKUP(B18,'#2 Accomodations'!$B$7:$F$31,5,TRUE)=0," ",VLOOKUP(B18,'#2 Accomodations'!$B$7:$F$31,5,TRUE))</f>
        <v xml:space="preserve"> </v>
      </c>
      <c r="E18" s="137" t="str">
        <f>IF(Table2[[#This Row],[Location]]=C17," ", "Yes")</f>
        <v>Yes</v>
      </c>
      <c r="F18" s="188" t="s">
        <v>178</v>
      </c>
      <c r="G18" s="188"/>
      <c r="H18" s="188"/>
      <c r="I18" s="188"/>
      <c r="J18" s="61"/>
      <c r="K18" s="61"/>
      <c r="L18" s="61"/>
      <c r="M18" s="61"/>
      <c r="N18" s="61"/>
      <c r="O18" s="61"/>
      <c r="P18" s="61"/>
      <c r="Q18" s="61"/>
      <c r="R18" s="61"/>
      <c r="S18" s="61"/>
      <c r="T18" s="61"/>
      <c r="U18" s="61"/>
      <c r="V18" s="61"/>
      <c r="W18" s="61"/>
    </row>
    <row r="19" spans="1:23" x14ac:dyDescent="0.35">
      <c r="A19" s="61"/>
      <c r="B19" s="136">
        <f t="shared" si="0"/>
        <v>45081</v>
      </c>
      <c r="C19" s="137" t="str">
        <f>VLOOKUP(B19,'#1 Trip Dreaming'!$K$6:$M$30,3,TRUE)</f>
        <v xml:space="preserve"> </v>
      </c>
      <c r="D19" s="114" t="str">
        <f>IF(VLOOKUP(B19,'#2 Accomodations'!$B$7:$F$31,5,TRUE)=0," ",VLOOKUP(B19,'#2 Accomodations'!$B$7:$F$31,5,TRUE))</f>
        <v xml:space="preserve"> </v>
      </c>
      <c r="E19" s="137" t="str">
        <f>IF(Table2[[#This Row],[Location]]=C18," ", "Yes")</f>
        <v xml:space="preserve"> </v>
      </c>
      <c r="F19" s="188"/>
      <c r="G19" s="188"/>
      <c r="H19" s="188"/>
      <c r="I19" s="188"/>
      <c r="J19" s="61"/>
      <c r="K19" s="61"/>
      <c r="L19" s="61"/>
      <c r="M19" s="61"/>
      <c r="N19" s="61"/>
      <c r="O19" s="61"/>
      <c r="P19" s="61"/>
      <c r="Q19" s="61"/>
      <c r="R19" s="61"/>
      <c r="S19" s="61"/>
      <c r="T19" s="61"/>
      <c r="U19" s="61"/>
      <c r="V19" s="61"/>
      <c r="W19" s="61"/>
    </row>
    <row r="20" spans="1:23" x14ac:dyDescent="0.35">
      <c r="A20" s="61"/>
      <c r="B20" s="136">
        <f t="shared" si="0"/>
        <v>45082</v>
      </c>
      <c r="C20" s="137" t="str">
        <f>VLOOKUP(B20,'#1 Trip Dreaming'!$K$6:$M$30,3,TRUE)</f>
        <v xml:space="preserve"> </v>
      </c>
      <c r="D20" s="114" t="str">
        <f>IF(VLOOKUP(B20,'#2 Accomodations'!$B$7:$F$31,5,TRUE)=0," ",VLOOKUP(B20,'#2 Accomodations'!$B$7:$F$31,5,TRUE))</f>
        <v xml:space="preserve"> </v>
      </c>
      <c r="E20" s="137" t="str">
        <f>IF(Table2[[#This Row],[Location]]=C19," ", "Yes")</f>
        <v xml:space="preserve"> </v>
      </c>
      <c r="F20" s="188"/>
      <c r="G20" s="188"/>
      <c r="H20" s="188"/>
      <c r="I20" s="188"/>
      <c r="J20" s="61"/>
      <c r="K20" s="61"/>
      <c r="L20" s="61"/>
      <c r="M20" s="61"/>
      <c r="N20" s="61"/>
      <c r="O20" s="61"/>
      <c r="P20" s="61"/>
      <c r="Q20" s="61"/>
      <c r="R20" s="61"/>
      <c r="S20" s="61"/>
      <c r="T20" s="61"/>
      <c r="U20" s="61"/>
      <c r="V20" s="61"/>
      <c r="W20" s="61"/>
    </row>
    <row r="21" spans="1:23" x14ac:dyDescent="0.35">
      <c r="A21" s="61"/>
      <c r="B21" s="136">
        <f t="shared" si="0"/>
        <v>45083</v>
      </c>
      <c r="C21" s="137" t="str">
        <f>VLOOKUP(B21,'#1 Trip Dreaming'!$K$6:$M$30,3,TRUE)</f>
        <v xml:space="preserve"> </v>
      </c>
      <c r="D21" s="114" t="str">
        <f>IF(VLOOKUP(B21,'#2 Accomodations'!$B$7:$F$31,5,TRUE)=0," ",VLOOKUP(B21,'#2 Accomodations'!$B$7:$F$31,5,TRUE))</f>
        <v xml:space="preserve"> </v>
      </c>
      <c r="E21" s="137" t="str">
        <f>IF(Table2[[#This Row],[Location]]=C20," ", "Yes")</f>
        <v xml:space="preserve"> </v>
      </c>
      <c r="F21" s="188"/>
      <c r="G21" s="188"/>
      <c r="H21" s="188"/>
      <c r="I21" s="188"/>
      <c r="J21" s="61"/>
      <c r="K21" s="61"/>
      <c r="L21" s="61"/>
      <c r="M21" s="61"/>
      <c r="N21" s="61"/>
      <c r="O21" s="61"/>
      <c r="P21" s="61"/>
      <c r="Q21" s="61"/>
      <c r="R21" s="61"/>
      <c r="S21" s="61"/>
      <c r="T21" s="61"/>
      <c r="U21" s="61"/>
      <c r="V21" s="61"/>
      <c r="W21" s="61"/>
    </row>
    <row r="22" spans="1:23" x14ac:dyDescent="0.35">
      <c r="A22" s="61"/>
      <c r="B22" s="136">
        <f t="shared" si="0"/>
        <v>45084</v>
      </c>
      <c r="C22" s="137" t="str">
        <f>VLOOKUP(B22,'#1 Trip Dreaming'!$K$6:$M$30,3,TRUE)</f>
        <v xml:space="preserve"> </v>
      </c>
      <c r="D22" s="114" t="str">
        <f>IF(VLOOKUP(B22,'#2 Accomodations'!$B$7:$F$31,5,TRUE)=0," ",VLOOKUP(B22,'#2 Accomodations'!$B$7:$F$31,5,TRUE))</f>
        <v xml:space="preserve"> </v>
      </c>
      <c r="E22" s="137" t="str">
        <f>IF(Table2[[#This Row],[Location]]=C21," ", "Yes")</f>
        <v xml:space="preserve"> </v>
      </c>
      <c r="F22" s="188"/>
      <c r="G22" s="188"/>
      <c r="H22" s="188"/>
      <c r="I22" s="188"/>
      <c r="J22" s="61"/>
      <c r="K22" s="61"/>
      <c r="L22" s="61"/>
      <c r="M22" s="61"/>
      <c r="N22" s="61"/>
      <c r="O22" s="61"/>
      <c r="P22" s="61"/>
      <c r="Q22" s="61"/>
      <c r="R22" s="61"/>
      <c r="S22" s="61"/>
      <c r="T22" s="61"/>
      <c r="U22" s="61"/>
      <c r="V22" s="61"/>
      <c r="W22" s="61"/>
    </row>
    <row r="23" spans="1:23" x14ac:dyDescent="0.35">
      <c r="A23" s="61"/>
      <c r="B23" s="136">
        <f t="shared" si="0"/>
        <v>45085</v>
      </c>
      <c r="C23" s="137" t="str">
        <f>VLOOKUP(B23,'#1 Trip Dreaming'!$K$6:$M$30,3,TRUE)</f>
        <v xml:space="preserve"> </v>
      </c>
      <c r="D23" s="114" t="str">
        <f>IF(VLOOKUP(B23,'#2 Accomodations'!$B$7:$F$31,5,TRUE)=0," ",VLOOKUP(B23,'#2 Accomodations'!$B$7:$F$31,5,TRUE))</f>
        <v xml:space="preserve"> </v>
      </c>
      <c r="E23" s="137" t="str">
        <f>IF(Table2[[#This Row],[Location]]=C22," ", "Yes")</f>
        <v xml:space="preserve"> </v>
      </c>
      <c r="F23" s="188"/>
      <c r="G23" s="188"/>
      <c r="H23" s="188"/>
      <c r="I23" s="188"/>
      <c r="J23" s="61"/>
      <c r="K23" s="61"/>
      <c r="L23" s="61"/>
      <c r="M23" s="61"/>
      <c r="N23" s="61"/>
      <c r="O23" s="61"/>
      <c r="P23" s="61"/>
      <c r="Q23" s="61"/>
      <c r="R23" s="61"/>
      <c r="S23" s="61"/>
      <c r="T23" s="61"/>
      <c r="U23" s="61"/>
      <c r="V23" s="61"/>
      <c r="W23" s="61"/>
    </row>
    <row r="24" spans="1:23" x14ac:dyDescent="0.35">
      <c r="A24" s="61"/>
      <c r="B24" s="136">
        <f t="shared" si="0"/>
        <v>45086</v>
      </c>
      <c r="C24" s="137" t="str">
        <f>VLOOKUP(B24,'#1 Trip Dreaming'!$K$6:$M$30,3,TRUE)</f>
        <v xml:space="preserve"> </v>
      </c>
      <c r="D24" s="114" t="str">
        <f>IF(VLOOKUP(B24,'#2 Accomodations'!$B$7:$F$31,5,TRUE)=0," ",VLOOKUP(B24,'#2 Accomodations'!$B$7:$F$31,5,TRUE))</f>
        <v xml:space="preserve"> </v>
      </c>
      <c r="E24" s="137" t="str">
        <f>IF(Table2[[#This Row],[Location]]=C23," ", "Yes")</f>
        <v xml:space="preserve"> </v>
      </c>
      <c r="F24" s="188"/>
      <c r="G24" s="188"/>
      <c r="H24" s="188"/>
      <c r="I24" s="188"/>
      <c r="J24" s="61"/>
      <c r="K24" s="61"/>
      <c r="L24" s="61"/>
      <c r="M24" s="61"/>
      <c r="N24" s="61"/>
      <c r="O24" s="61"/>
      <c r="P24" s="61"/>
      <c r="Q24" s="61"/>
      <c r="R24" s="61"/>
      <c r="S24" s="61"/>
      <c r="T24" s="61"/>
      <c r="U24" s="61"/>
      <c r="V24" s="61"/>
      <c r="W24" s="61"/>
    </row>
    <row r="25" spans="1:23" x14ac:dyDescent="0.35">
      <c r="A25" s="61"/>
      <c r="B25" s="136">
        <f t="shared" si="0"/>
        <v>45087</v>
      </c>
      <c r="C25" s="137" t="str">
        <f>VLOOKUP(B25,'#1 Trip Dreaming'!$K$6:$M$30,3,TRUE)</f>
        <v xml:space="preserve"> </v>
      </c>
      <c r="D25" s="114" t="str">
        <f>IF(VLOOKUP(B25,'#2 Accomodations'!$B$7:$F$31,5,TRUE)=0," ",VLOOKUP(B25,'#2 Accomodations'!$B$7:$F$31,5,TRUE))</f>
        <v xml:space="preserve"> </v>
      </c>
      <c r="E25" s="137" t="str">
        <f>IF(Table2[[#This Row],[Location]]=C24," ", "Yes")</f>
        <v xml:space="preserve"> </v>
      </c>
      <c r="F25" s="188"/>
      <c r="G25" s="188"/>
      <c r="H25" s="188"/>
      <c r="I25" s="188"/>
      <c r="J25" s="61"/>
      <c r="K25" s="61"/>
      <c r="L25" s="61"/>
      <c r="M25" s="61"/>
      <c r="N25" s="61"/>
      <c r="O25" s="61"/>
      <c r="P25" s="61"/>
      <c r="Q25" s="61"/>
      <c r="R25" s="61"/>
      <c r="S25" s="61"/>
      <c r="T25" s="61"/>
      <c r="U25" s="61"/>
      <c r="V25" s="61"/>
      <c r="W25" s="61"/>
    </row>
    <row r="26" spans="1:23" x14ac:dyDescent="0.35">
      <c r="A26" s="61"/>
      <c r="B26" s="136">
        <f t="shared" si="0"/>
        <v>45088</v>
      </c>
      <c r="C26" s="137" t="str">
        <f>VLOOKUP(B26,'#1 Trip Dreaming'!$K$6:$M$30,3,TRUE)</f>
        <v xml:space="preserve"> </v>
      </c>
      <c r="D26" s="114" t="str">
        <f>IF(VLOOKUP(B26,'#2 Accomodations'!$B$7:$F$31,5,TRUE)=0," ",VLOOKUP(B26,'#2 Accomodations'!$B$7:$F$31,5,TRUE))</f>
        <v xml:space="preserve"> </v>
      </c>
      <c r="E26" s="137" t="str">
        <f>IF(Table2[[#This Row],[Location]]=C25," ", "Yes")</f>
        <v xml:space="preserve"> </v>
      </c>
      <c r="F26" s="188"/>
      <c r="G26" s="188"/>
      <c r="H26" s="188"/>
      <c r="I26" s="188"/>
      <c r="J26" s="61"/>
      <c r="K26" s="61"/>
      <c r="L26" s="61"/>
      <c r="M26" s="61"/>
      <c r="N26" s="61"/>
      <c r="O26" s="61"/>
      <c r="P26" s="61"/>
      <c r="Q26" s="61"/>
      <c r="R26" s="61"/>
      <c r="S26" s="61"/>
      <c r="T26" s="61"/>
      <c r="U26" s="61"/>
      <c r="V26" s="61"/>
      <c r="W26" s="61"/>
    </row>
    <row r="27" spans="1:23" x14ac:dyDescent="0.35">
      <c r="A27" s="61"/>
      <c r="B27" s="136">
        <f t="shared" si="0"/>
        <v>45089</v>
      </c>
      <c r="C27" s="137" t="str">
        <f>VLOOKUP(B27,'#1 Trip Dreaming'!$K$6:$M$30,3,TRUE)</f>
        <v xml:space="preserve"> </v>
      </c>
      <c r="D27" s="114" t="str">
        <f>IF(VLOOKUP(B27,'#2 Accomodations'!$B$7:$F$31,5,TRUE)=0," ",VLOOKUP(B27,'#2 Accomodations'!$B$7:$F$31,5,TRUE))</f>
        <v xml:space="preserve"> </v>
      </c>
      <c r="E27" s="137" t="str">
        <f>IF(Table2[[#This Row],[Location]]=C26," ", "Yes")</f>
        <v xml:space="preserve"> </v>
      </c>
      <c r="F27" s="188"/>
      <c r="G27" s="188"/>
      <c r="H27" s="188"/>
      <c r="I27" s="188"/>
      <c r="J27" s="61"/>
      <c r="K27" s="61"/>
      <c r="L27" s="61"/>
      <c r="M27" s="61"/>
      <c r="N27" s="61"/>
      <c r="O27" s="61"/>
      <c r="P27" s="61"/>
      <c r="Q27" s="61"/>
      <c r="R27" s="61"/>
      <c r="S27" s="61"/>
      <c r="T27" s="61"/>
      <c r="U27" s="61"/>
      <c r="V27" s="61"/>
      <c r="W27" s="61"/>
    </row>
    <row r="28" spans="1:23" x14ac:dyDescent="0.35">
      <c r="A28" s="61"/>
      <c r="B28" s="136">
        <f t="shared" si="0"/>
        <v>45090</v>
      </c>
      <c r="C28" s="137" t="str">
        <f>VLOOKUP(B28,'#1 Trip Dreaming'!$K$6:$M$30,3,TRUE)</f>
        <v xml:space="preserve"> </v>
      </c>
      <c r="D28" s="114" t="str">
        <f>IF(VLOOKUP(B28,'#2 Accomodations'!$B$7:$F$31,5,TRUE)=0," ",VLOOKUP(B28,'#2 Accomodations'!$B$7:$F$31,5,TRUE))</f>
        <v xml:space="preserve"> </v>
      </c>
      <c r="E28" s="137" t="str">
        <f>IF(Table2[[#This Row],[Location]]=C27," ", "Yes")</f>
        <v xml:space="preserve"> </v>
      </c>
      <c r="F28" s="188"/>
      <c r="G28" s="188"/>
      <c r="H28" s="188"/>
      <c r="I28" s="188"/>
      <c r="J28" s="61"/>
      <c r="K28" s="61"/>
      <c r="L28" s="61"/>
      <c r="M28" s="61"/>
      <c r="N28" s="61"/>
      <c r="O28" s="61"/>
      <c r="P28" s="61"/>
      <c r="Q28" s="61"/>
      <c r="R28" s="61"/>
      <c r="S28" s="61"/>
      <c r="T28" s="61"/>
      <c r="U28" s="61"/>
      <c r="V28" s="61"/>
      <c r="W28" s="61"/>
    </row>
    <row r="29" spans="1:23" x14ac:dyDescent="0.35">
      <c r="A29" s="61"/>
      <c r="B29" s="136">
        <f t="shared" si="0"/>
        <v>45091</v>
      </c>
      <c r="C29" s="137" t="str">
        <f>VLOOKUP(B29,'#1 Trip Dreaming'!$K$6:$M$30,3,TRUE)</f>
        <v xml:space="preserve"> </v>
      </c>
      <c r="D29" s="114" t="str">
        <f>IF(VLOOKUP(B29,'#2 Accomodations'!$B$7:$F$31,5,TRUE)=0," ",VLOOKUP(B29,'#2 Accomodations'!$B$7:$F$31,5,TRUE))</f>
        <v xml:space="preserve"> </v>
      </c>
      <c r="E29" s="137" t="str">
        <f>IF(Table2[[#This Row],[Location]]=C28," ", "Yes")</f>
        <v xml:space="preserve"> </v>
      </c>
      <c r="F29" s="188"/>
      <c r="G29" s="188"/>
      <c r="H29" s="188"/>
      <c r="I29" s="188"/>
      <c r="J29" s="61"/>
      <c r="K29" s="61"/>
      <c r="L29" s="61"/>
      <c r="M29" s="61"/>
      <c r="N29" s="61"/>
      <c r="O29" s="61"/>
      <c r="P29" s="61"/>
      <c r="Q29" s="61"/>
      <c r="R29" s="61"/>
      <c r="S29" s="61"/>
      <c r="T29" s="61"/>
      <c r="U29" s="61"/>
      <c r="V29" s="61"/>
      <c r="W29" s="61"/>
    </row>
    <row r="30" spans="1:23" x14ac:dyDescent="0.35">
      <c r="A30" s="61"/>
      <c r="B30" s="136">
        <f t="shared" si="0"/>
        <v>45092</v>
      </c>
      <c r="C30" s="137" t="str">
        <f>VLOOKUP(B30,'#1 Trip Dreaming'!$K$6:$M$30,3,TRUE)</f>
        <v xml:space="preserve"> </v>
      </c>
      <c r="D30" s="114" t="str">
        <f>IF(VLOOKUP(B30,'#2 Accomodations'!$B$7:$F$31,5,TRUE)=0," ",VLOOKUP(B30,'#2 Accomodations'!$B$7:$F$31,5,TRUE))</f>
        <v xml:space="preserve"> </v>
      </c>
      <c r="E30" s="137" t="str">
        <f>IF(Table2[[#This Row],[Location]]=C29," ", "Yes")</f>
        <v xml:space="preserve"> </v>
      </c>
      <c r="F30" s="188"/>
      <c r="G30" s="188"/>
      <c r="H30" s="188"/>
      <c r="I30" s="188"/>
      <c r="J30" s="61"/>
      <c r="K30" s="61"/>
      <c r="L30" s="61"/>
      <c r="M30" s="61"/>
      <c r="N30" s="61"/>
      <c r="O30" s="61"/>
      <c r="P30" s="61"/>
      <c r="Q30" s="61"/>
      <c r="R30" s="61"/>
      <c r="S30" s="61"/>
      <c r="T30" s="61"/>
      <c r="U30" s="61"/>
      <c r="V30" s="61"/>
      <c r="W30" s="61"/>
    </row>
    <row r="31" spans="1:23" x14ac:dyDescent="0.35">
      <c r="A31" s="61"/>
      <c r="B31" s="136">
        <f t="shared" si="0"/>
        <v>45093</v>
      </c>
      <c r="C31" s="137" t="str">
        <f>VLOOKUP(B31,'#1 Trip Dreaming'!$K$6:$M$30,3,TRUE)</f>
        <v xml:space="preserve"> </v>
      </c>
      <c r="D31" s="114" t="str">
        <f>IF(VLOOKUP(B31,'#2 Accomodations'!$B$7:$F$31,5,TRUE)=0," ",VLOOKUP(B31,'#2 Accomodations'!$B$7:$F$31,5,TRUE))</f>
        <v xml:space="preserve"> </v>
      </c>
      <c r="E31" s="137" t="str">
        <f>IF(Table2[[#This Row],[Location]]=C30," ", "Yes")</f>
        <v xml:space="preserve"> </v>
      </c>
      <c r="F31" s="188"/>
      <c r="G31" s="188"/>
      <c r="H31" s="188"/>
      <c r="I31" s="188"/>
      <c r="J31" s="61"/>
      <c r="K31" s="61"/>
      <c r="L31" s="61"/>
      <c r="M31" s="61"/>
      <c r="N31" s="61"/>
      <c r="O31" s="61"/>
      <c r="P31" s="61"/>
      <c r="Q31" s="61"/>
      <c r="R31" s="61"/>
      <c r="S31" s="61"/>
      <c r="T31" s="61"/>
      <c r="U31" s="61"/>
      <c r="V31" s="61"/>
      <c r="W31" s="61"/>
    </row>
    <row r="32" spans="1:23" x14ac:dyDescent="0.35">
      <c r="A32" s="61"/>
      <c r="B32" s="136">
        <f t="shared" si="0"/>
        <v>45094</v>
      </c>
      <c r="C32" s="137" t="str">
        <f>VLOOKUP(B32,'#1 Trip Dreaming'!$K$6:$M$30,3,TRUE)</f>
        <v xml:space="preserve"> </v>
      </c>
      <c r="D32" s="114" t="str">
        <f>IF(VLOOKUP(B32,'#2 Accomodations'!$B$7:$F$31,5,TRUE)=0," ",VLOOKUP(B32,'#2 Accomodations'!$B$7:$F$31,5,TRUE))</f>
        <v xml:space="preserve"> </v>
      </c>
      <c r="E32" s="137" t="str">
        <f>IF(Table2[[#This Row],[Location]]=C31," ", "Yes")</f>
        <v xml:space="preserve"> </v>
      </c>
      <c r="F32" s="188"/>
      <c r="G32" s="188"/>
      <c r="H32" s="188"/>
      <c r="I32" s="188"/>
      <c r="J32" s="61"/>
      <c r="K32" s="61"/>
      <c r="L32" s="61"/>
      <c r="M32" s="61"/>
      <c r="N32" s="61"/>
      <c r="O32" s="61"/>
      <c r="P32" s="61"/>
      <c r="Q32" s="61"/>
      <c r="R32" s="61"/>
      <c r="S32" s="61"/>
      <c r="T32" s="61"/>
      <c r="U32" s="61"/>
      <c r="V32" s="61"/>
      <c r="W32" s="61"/>
    </row>
    <row r="33" spans="1:23" x14ac:dyDescent="0.35">
      <c r="A33" s="61"/>
      <c r="B33" s="136">
        <f t="shared" si="0"/>
        <v>45095</v>
      </c>
      <c r="C33" s="137" t="str">
        <f>VLOOKUP(B33,'#1 Trip Dreaming'!$K$6:$M$30,3,TRUE)</f>
        <v xml:space="preserve"> </v>
      </c>
      <c r="D33" s="114" t="str">
        <f>IF(VLOOKUP(B33,'#2 Accomodations'!$B$7:$F$31,5,TRUE)=0," ",VLOOKUP(B33,'#2 Accomodations'!$B$7:$F$31,5,TRUE))</f>
        <v xml:space="preserve"> </v>
      </c>
      <c r="E33" s="137" t="str">
        <f>IF(Table2[[#This Row],[Location]]=C32," ", "Yes")</f>
        <v xml:space="preserve"> </v>
      </c>
      <c r="F33" s="188"/>
      <c r="G33" s="188"/>
      <c r="H33" s="188"/>
      <c r="I33" s="188"/>
      <c r="J33" s="61"/>
      <c r="K33" s="61"/>
      <c r="L33" s="61"/>
      <c r="M33" s="61"/>
      <c r="N33" s="61"/>
      <c r="O33" s="61"/>
      <c r="P33" s="61"/>
      <c r="Q33" s="61"/>
      <c r="R33" s="61"/>
      <c r="S33" s="61"/>
      <c r="T33" s="61"/>
      <c r="U33" s="61"/>
      <c r="V33" s="61"/>
      <c r="W33" s="61"/>
    </row>
    <row r="34" spans="1:23" x14ac:dyDescent="0.35">
      <c r="A34" s="61"/>
      <c r="B34" s="136">
        <f t="shared" si="0"/>
        <v>45096</v>
      </c>
      <c r="C34" s="137" t="str">
        <f>VLOOKUP(B34,'#1 Trip Dreaming'!$K$6:$M$30,3,TRUE)</f>
        <v xml:space="preserve"> </v>
      </c>
      <c r="D34" s="114" t="str">
        <f>IF(VLOOKUP(B34,'#2 Accomodations'!$B$7:$F$31,5,TRUE)=0," ",VLOOKUP(B34,'#2 Accomodations'!$B$7:$F$31,5,TRUE))</f>
        <v xml:space="preserve"> </v>
      </c>
      <c r="E34" s="137" t="str">
        <f>IF(Table2[[#This Row],[Location]]=C33," ", "Yes")</f>
        <v xml:space="preserve"> </v>
      </c>
      <c r="F34" s="188"/>
      <c r="G34" s="188"/>
      <c r="H34" s="188"/>
      <c r="I34" s="188"/>
      <c r="J34" s="61"/>
      <c r="K34" s="61"/>
      <c r="L34" s="61"/>
      <c r="M34" s="61"/>
      <c r="N34" s="61"/>
      <c r="O34" s="61"/>
      <c r="P34" s="61"/>
      <c r="Q34" s="61"/>
      <c r="R34" s="61"/>
      <c r="S34" s="61"/>
      <c r="T34" s="61"/>
      <c r="U34" s="61"/>
      <c r="V34" s="61"/>
      <c r="W34" s="61"/>
    </row>
    <row r="35" spans="1:23" x14ac:dyDescent="0.35">
      <c r="A35" s="61"/>
      <c r="B35" s="136">
        <f t="shared" si="0"/>
        <v>45097</v>
      </c>
      <c r="C35" s="137" t="str">
        <f>VLOOKUP(B35,'#1 Trip Dreaming'!$K$6:$M$30,3,TRUE)</f>
        <v xml:space="preserve"> </v>
      </c>
      <c r="D35" s="114" t="str">
        <f>IF(VLOOKUP(B35,'#2 Accomodations'!$B$7:$F$31,5,TRUE)=0," ",VLOOKUP(B35,'#2 Accomodations'!$B$7:$F$31,5,TRUE))</f>
        <v xml:space="preserve"> </v>
      </c>
      <c r="E35" s="137" t="str">
        <f>IF(Table2[[#This Row],[Location]]=C34," ", "Yes")</f>
        <v xml:space="preserve"> </v>
      </c>
      <c r="F35" s="188"/>
      <c r="G35" s="188"/>
      <c r="H35" s="188"/>
      <c r="I35" s="188"/>
      <c r="J35" s="61"/>
      <c r="K35" s="61"/>
      <c r="L35" s="61"/>
      <c r="M35" s="61"/>
      <c r="N35" s="61"/>
      <c r="O35" s="61"/>
      <c r="P35" s="61"/>
      <c r="Q35" s="61"/>
      <c r="R35" s="61"/>
      <c r="S35" s="61"/>
      <c r="T35" s="61"/>
      <c r="U35" s="61"/>
      <c r="V35" s="61"/>
      <c r="W35" s="61"/>
    </row>
    <row r="36" spans="1:23" x14ac:dyDescent="0.35">
      <c r="A36" s="61"/>
      <c r="B36" s="136">
        <f t="shared" si="0"/>
        <v>45098</v>
      </c>
      <c r="C36" s="137" t="str">
        <f>VLOOKUP(B36,'#1 Trip Dreaming'!$K$6:$M$30,3,TRUE)</f>
        <v xml:space="preserve"> </v>
      </c>
      <c r="D36" s="114" t="str">
        <f>IF(VLOOKUP(B36,'#2 Accomodations'!$B$7:$F$31,5,TRUE)=0," ",VLOOKUP(B36,'#2 Accomodations'!$B$7:$F$31,5,TRUE))</f>
        <v xml:space="preserve"> </v>
      </c>
      <c r="E36" s="137" t="str">
        <f>IF(Table2[[#This Row],[Location]]=C35," ", "Yes")</f>
        <v xml:space="preserve"> </v>
      </c>
      <c r="F36" s="188"/>
      <c r="G36" s="188"/>
      <c r="H36" s="188"/>
      <c r="I36" s="188"/>
      <c r="J36" s="61"/>
      <c r="K36" s="61"/>
      <c r="L36" s="61"/>
      <c r="M36" s="61"/>
      <c r="N36" s="61"/>
      <c r="O36" s="61"/>
      <c r="P36" s="61"/>
      <c r="Q36" s="61"/>
      <c r="R36" s="61"/>
      <c r="S36" s="61"/>
      <c r="T36" s="61"/>
      <c r="U36" s="61"/>
      <c r="V36" s="61"/>
      <c r="W36" s="61"/>
    </row>
    <row r="37" spans="1:23" x14ac:dyDescent="0.35">
      <c r="A37" s="61"/>
      <c r="B37" s="136">
        <f t="shared" si="0"/>
        <v>45099</v>
      </c>
      <c r="C37" s="137" t="str">
        <f>VLOOKUP(B37,'#1 Trip Dreaming'!$K$6:$M$30,3,TRUE)</f>
        <v xml:space="preserve"> </v>
      </c>
      <c r="D37" s="114" t="str">
        <f>IF(VLOOKUP(B37,'#2 Accomodations'!$B$7:$F$31,5,TRUE)=0," ",VLOOKUP(B37,'#2 Accomodations'!$B$7:$F$31,5,TRUE))</f>
        <v xml:space="preserve"> </v>
      </c>
      <c r="E37" s="137" t="str">
        <f>IF(Table2[[#This Row],[Location]]=C36," ", "Yes")</f>
        <v xml:space="preserve"> </v>
      </c>
      <c r="F37" s="188"/>
      <c r="G37" s="188"/>
      <c r="H37" s="188"/>
      <c r="I37" s="188"/>
      <c r="J37" s="61"/>
      <c r="K37" s="61"/>
      <c r="L37" s="61"/>
      <c r="M37" s="61"/>
      <c r="N37" s="61"/>
      <c r="O37" s="61"/>
      <c r="P37" s="61"/>
      <c r="Q37" s="61"/>
      <c r="R37" s="61"/>
      <c r="S37" s="61"/>
      <c r="T37" s="61"/>
      <c r="U37" s="61"/>
      <c r="V37" s="61"/>
      <c r="W37" s="61"/>
    </row>
    <row r="38" spans="1:23" x14ac:dyDescent="0.35">
      <c r="A38" s="61"/>
      <c r="B38" s="136">
        <f t="shared" si="0"/>
        <v>45100</v>
      </c>
      <c r="C38" s="137" t="str">
        <f>VLOOKUP(B38,'#1 Trip Dreaming'!$K$6:$M$30,3,TRUE)</f>
        <v xml:space="preserve"> </v>
      </c>
      <c r="D38" s="114" t="str">
        <f>IF(VLOOKUP(B38,'#2 Accomodations'!$B$7:$F$31,5,TRUE)=0," ",VLOOKUP(B38,'#2 Accomodations'!$B$7:$F$31,5,TRUE))</f>
        <v xml:space="preserve"> </v>
      </c>
      <c r="E38" s="137" t="str">
        <f>IF(Table2[[#This Row],[Location]]=C37," ", "Yes")</f>
        <v xml:space="preserve"> </v>
      </c>
      <c r="F38" s="188"/>
      <c r="G38" s="188"/>
      <c r="H38" s="188"/>
      <c r="I38" s="188"/>
      <c r="J38" s="61"/>
      <c r="K38" s="61"/>
      <c r="L38" s="61"/>
      <c r="M38" s="61"/>
      <c r="N38" s="61"/>
      <c r="O38" s="61"/>
      <c r="P38" s="61"/>
      <c r="Q38" s="61"/>
      <c r="R38" s="61"/>
      <c r="S38" s="61"/>
      <c r="T38" s="61"/>
      <c r="U38" s="61"/>
      <c r="V38" s="61"/>
      <c r="W38" s="61"/>
    </row>
    <row r="39" spans="1:23" x14ac:dyDescent="0.35">
      <c r="A39" s="61"/>
      <c r="B39" s="136">
        <f t="shared" si="0"/>
        <v>45101</v>
      </c>
      <c r="C39" s="137" t="str">
        <f>VLOOKUP(B39,'#1 Trip Dreaming'!$K$6:$M$30,3,TRUE)</f>
        <v xml:space="preserve"> </v>
      </c>
      <c r="D39" s="114" t="str">
        <f>IF(VLOOKUP(B39,'#2 Accomodations'!$B$7:$F$31,5,TRUE)=0," ",VLOOKUP(B39,'#2 Accomodations'!$B$7:$F$31,5,TRUE))</f>
        <v xml:space="preserve"> </v>
      </c>
      <c r="E39" s="137" t="str">
        <f>IF(Table2[[#This Row],[Location]]=C38," ", "Yes")</f>
        <v xml:space="preserve"> </v>
      </c>
      <c r="F39" s="188"/>
      <c r="G39" s="188"/>
      <c r="H39" s="188"/>
      <c r="I39" s="188"/>
      <c r="J39" s="61"/>
      <c r="K39" s="61"/>
      <c r="L39" s="61"/>
      <c r="M39" s="61"/>
      <c r="N39" s="61"/>
      <c r="O39" s="61"/>
      <c r="P39" s="61"/>
      <c r="Q39" s="61"/>
      <c r="R39" s="61"/>
      <c r="S39" s="61"/>
      <c r="T39" s="61"/>
      <c r="U39" s="61"/>
      <c r="V39" s="61"/>
      <c r="W39" s="61"/>
    </row>
    <row r="40" spans="1:23" x14ac:dyDescent="0.35">
      <c r="A40" s="61"/>
      <c r="B40" s="136">
        <f t="shared" si="0"/>
        <v>45102</v>
      </c>
      <c r="C40" s="137" t="str">
        <f>VLOOKUP(B40,'#1 Trip Dreaming'!$K$6:$M$30,3,TRUE)</f>
        <v xml:space="preserve"> </v>
      </c>
      <c r="D40" s="114" t="str">
        <f>IF(VLOOKUP(B40,'#2 Accomodations'!$B$7:$F$31,5,TRUE)=0," ",VLOOKUP(B40,'#2 Accomodations'!$B$7:$F$31,5,TRUE))</f>
        <v xml:space="preserve"> </v>
      </c>
      <c r="E40" s="137" t="str">
        <f>IF(Table2[[#This Row],[Location]]=C39," ", "Yes")</f>
        <v xml:space="preserve"> </v>
      </c>
      <c r="F40" s="188"/>
      <c r="G40" s="188"/>
      <c r="H40" s="188"/>
      <c r="I40" s="188"/>
      <c r="J40" s="61"/>
      <c r="K40" s="61"/>
      <c r="L40" s="61"/>
      <c r="M40" s="61"/>
      <c r="N40" s="61"/>
      <c r="O40" s="61"/>
      <c r="P40" s="61"/>
      <c r="Q40" s="61"/>
      <c r="R40" s="61"/>
      <c r="S40" s="61"/>
      <c r="T40" s="61"/>
      <c r="U40" s="61"/>
      <c r="V40" s="61"/>
      <c r="W40" s="61"/>
    </row>
    <row r="41" spans="1:23" x14ac:dyDescent="0.35">
      <c r="A41" s="61"/>
      <c r="B41" s="136">
        <f t="shared" si="0"/>
        <v>45103</v>
      </c>
      <c r="C41" s="137" t="str">
        <f>VLOOKUP(B41,'#1 Trip Dreaming'!$K$6:$M$30,3,TRUE)</f>
        <v xml:space="preserve"> </v>
      </c>
      <c r="D41" s="114" t="str">
        <f>IF(VLOOKUP(B41,'#2 Accomodations'!$B$7:$F$31,5,TRUE)=0," ",VLOOKUP(B41,'#2 Accomodations'!$B$7:$F$31,5,TRUE))</f>
        <v xml:space="preserve"> </v>
      </c>
      <c r="E41" s="137" t="str">
        <f>IF(Table2[[#This Row],[Location]]=C40," ", "Yes")</f>
        <v xml:space="preserve"> </v>
      </c>
      <c r="F41" s="188"/>
      <c r="G41" s="188"/>
      <c r="H41" s="188"/>
      <c r="I41" s="188"/>
      <c r="J41" s="61"/>
      <c r="K41" s="61"/>
      <c r="L41" s="61"/>
      <c r="M41" s="61"/>
      <c r="N41" s="61"/>
      <c r="O41" s="61"/>
      <c r="P41" s="61"/>
      <c r="Q41" s="61"/>
      <c r="R41" s="61"/>
      <c r="S41" s="61"/>
      <c r="T41" s="61"/>
      <c r="U41" s="61"/>
      <c r="V41" s="61"/>
      <c r="W41" s="61"/>
    </row>
    <row r="42" spans="1:23" x14ac:dyDescent="0.35">
      <c r="A42" s="61"/>
      <c r="B42" s="136">
        <f t="shared" si="0"/>
        <v>45104</v>
      </c>
      <c r="C42" s="137" t="str">
        <f>VLOOKUP(B42,'#1 Trip Dreaming'!$K$6:$M$30,3,TRUE)</f>
        <v xml:space="preserve"> </v>
      </c>
      <c r="D42" s="114" t="str">
        <f>IF(VLOOKUP(B42,'#2 Accomodations'!$B$7:$F$31,5,TRUE)=0," ",VLOOKUP(B42,'#2 Accomodations'!$B$7:$F$31,5,TRUE))</f>
        <v xml:space="preserve"> </v>
      </c>
      <c r="E42" s="137" t="str">
        <f>IF(Table2[[#This Row],[Location]]=C41," ", "Yes")</f>
        <v xml:space="preserve"> </v>
      </c>
      <c r="F42" s="188"/>
      <c r="G42" s="188"/>
      <c r="H42" s="188"/>
      <c r="I42" s="188"/>
      <c r="J42" s="61"/>
      <c r="K42" s="61"/>
      <c r="L42" s="61"/>
      <c r="M42" s="61"/>
      <c r="N42" s="61"/>
      <c r="O42" s="61"/>
      <c r="P42" s="61"/>
      <c r="Q42" s="61"/>
      <c r="R42" s="61"/>
      <c r="S42" s="61"/>
      <c r="T42" s="61"/>
      <c r="U42" s="61"/>
      <c r="V42" s="61"/>
      <c r="W42" s="61"/>
    </row>
    <row r="43" spans="1:23" x14ac:dyDescent="0.35">
      <c r="A43" s="61"/>
      <c r="B43" s="136">
        <f t="shared" si="0"/>
        <v>45105</v>
      </c>
      <c r="C43" s="137" t="str">
        <f>VLOOKUP(B43,'#1 Trip Dreaming'!$K$6:$M$30,3,TRUE)</f>
        <v xml:space="preserve"> </v>
      </c>
      <c r="D43" s="114" t="str">
        <f>IF(VLOOKUP(B43,'#2 Accomodations'!$B$7:$F$31,5,TRUE)=0," ",VLOOKUP(B43,'#2 Accomodations'!$B$7:$F$31,5,TRUE))</f>
        <v xml:space="preserve"> </v>
      </c>
      <c r="E43" s="137" t="str">
        <f>IF(Table2[[#This Row],[Location]]=C42," ", "Yes")</f>
        <v xml:space="preserve"> </v>
      </c>
      <c r="F43" s="188"/>
      <c r="G43" s="188"/>
      <c r="H43" s="188"/>
      <c r="I43" s="188"/>
      <c r="J43" s="61"/>
      <c r="K43" s="61"/>
      <c r="L43" s="61"/>
      <c r="M43" s="61"/>
      <c r="N43" s="61"/>
      <c r="O43" s="61"/>
      <c r="P43" s="61"/>
      <c r="Q43" s="61"/>
      <c r="R43" s="61"/>
      <c r="S43" s="61"/>
      <c r="T43" s="61"/>
      <c r="U43" s="61"/>
      <c r="V43" s="61"/>
      <c r="W43" s="61"/>
    </row>
    <row r="44" spans="1:23" x14ac:dyDescent="0.35">
      <c r="A44" s="61"/>
      <c r="B44" s="136">
        <f t="shared" si="0"/>
        <v>45106</v>
      </c>
      <c r="C44" s="137" t="str">
        <f>VLOOKUP(B44,'#1 Trip Dreaming'!$K$6:$M$30,3,TRUE)</f>
        <v xml:space="preserve"> </v>
      </c>
      <c r="D44" s="114" t="str">
        <f>IF(VLOOKUP(B44,'#2 Accomodations'!$B$7:$F$31,5,TRUE)=0," ",VLOOKUP(B44,'#2 Accomodations'!$B$7:$F$31,5,TRUE))</f>
        <v xml:space="preserve"> </v>
      </c>
      <c r="E44" s="137" t="str">
        <f>IF(Table2[[#This Row],[Location]]=C43," ", "Yes")</f>
        <v xml:space="preserve"> </v>
      </c>
      <c r="F44" s="188"/>
      <c r="G44" s="188"/>
      <c r="H44" s="188"/>
      <c r="I44" s="188"/>
      <c r="J44" s="61"/>
      <c r="K44" s="61"/>
      <c r="L44" s="61"/>
      <c r="M44" s="61"/>
      <c r="N44" s="61"/>
      <c r="O44" s="61"/>
      <c r="P44" s="61"/>
      <c r="Q44" s="61"/>
      <c r="R44" s="61"/>
      <c r="S44" s="61"/>
      <c r="T44" s="61"/>
      <c r="U44" s="61"/>
      <c r="V44" s="61"/>
      <c r="W44" s="61"/>
    </row>
    <row r="45" spans="1:23" x14ac:dyDescent="0.35">
      <c r="A45" s="61"/>
      <c r="B45" s="136">
        <f t="shared" si="0"/>
        <v>45107</v>
      </c>
      <c r="C45" s="137" t="str">
        <f>VLOOKUP(B45,'#1 Trip Dreaming'!$K$6:$M$30,3,TRUE)</f>
        <v xml:space="preserve"> </v>
      </c>
      <c r="D45" s="114" t="str">
        <f>IF(VLOOKUP(B45,'#2 Accomodations'!$B$7:$F$31,5,TRUE)=0," ",VLOOKUP(B45,'#2 Accomodations'!$B$7:$F$31,5,TRUE))</f>
        <v xml:space="preserve"> </v>
      </c>
      <c r="E45" s="137" t="str">
        <f>IF(Table2[[#This Row],[Location]]=C44," ", "Yes")</f>
        <v xml:space="preserve"> </v>
      </c>
      <c r="F45" s="188"/>
      <c r="G45" s="188"/>
      <c r="H45" s="188"/>
      <c r="I45" s="188"/>
      <c r="J45" s="61"/>
      <c r="K45" s="61"/>
      <c r="L45" s="61"/>
      <c r="M45" s="61"/>
      <c r="N45" s="61"/>
      <c r="O45" s="61"/>
      <c r="P45" s="61"/>
      <c r="Q45" s="61"/>
      <c r="R45" s="61"/>
      <c r="S45" s="61"/>
      <c r="T45" s="61"/>
      <c r="U45" s="61"/>
      <c r="V45" s="61"/>
      <c r="W45" s="61"/>
    </row>
    <row r="46" spans="1:23" x14ac:dyDescent="0.35">
      <c r="A46" s="61"/>
      <c r="B46" s="136">
        <f t="shared" si="0"/>
        <v>45108</v>
      </c>
      <c r="C46" s="137" t="str">
        <f>VLOOKUP(B46,'#1 Trip Dreaming'!$K$6:$M$30,3,TRUE)</f>
        <v xml:space="preserve"> </v>
      </c>
      <c r="D46" s="114" t="str">
        <f>IF(VLOOKUP(B46,'#2 Accomodations'!$B$7:$F$31,5,TRUE)=0," ",VLOOKUP(B46,'#2 Accomodations'!$B$7:$F$31,5,TRUE))</f>
        <v xml:space="preserve"> </v>
      </c>
      <c r="E46" s="137" t="str">
        <f>IF(Table2[[#This Row],[Location]]=C45," ", "Yes")</f>
        <v xml:space="preserve"> </v>
      </c>
      <c r="F46" s="188"/>
      <c r="G46" s="188"/>
      <c r="H46" s="188"/>
      <c r="I46" s="188"/>
      <c r="J46" s="61"/>
      <c r="K46" s="61"/>
      <c r="L46" s="61"/>
      <c r="M46" s="61"/>
      <c r="N46" s="61"/>
      <c r="O46" s="61"/>
      <c r="P46" s="61"/>
      <c r="Q46" s="61"/>
      <c r="R46" s="61"/>
      <c r="S46" s="61"/>
      <c r="T46" s="61"/>
      <c r="U46" s="61"/>
      <c r="V46" s="61"/>
      <c r="W46" s="61"/>
    </row>
    <row r="47" spans="1:23" x14ac:dyDescent="0.35">
      <c r="A47" s="61"/>
      <c r="B47" s="136">
        <f t="shared" si="0"/>
        <v>45109</v>
      </c>
      <c r="C47" s="137" t="str">
        <f>VLOOKUP(B47,'#1 Trip Dreaming'!$K$6:$M$30,3,TRUE)</f>
        <v xml:space="preserve"> </v>
      </c>
      <c r="D47" s="114" t="str">
        <f>IF(VLOOKUP(B47,'#2 Accomodations'!$B$7:$F$31,5,TRUE)=0," ",VLOOKUP(B47,'#2 Accomodations'!$B$7:$F$31,5,TRUE))</f>
        <v xml:space="preserve"> </v>
      </c>
      <c r="E47" s="137" t="str">
        <f>IF(Table2[[#This Row],[Location]]=C46," ", "Yes")</f>
        <v xml:space="preserve"> </v>
      </c>
      <c r="F47" s="188"/>
      <c r="G47" s="188"/>
      <c r="H47" s="188"/>
      <c r="I47" s="188"/>
      <c r="J47" s="61"/>
      <c r="K47" s="61"/>
      <c r="L47" s="61"/>
      <c r="M47" s="61"/>
      <c r="N47" s="61"/>
      <c r="O47" s="61"/>
      <c r="P47" s="61"/>
      <c r="Q47" s="61"/>
      <c r="R47" s="61"/>
      <c r="S47" s="61"/>
      <c r="T47" s="61"/>
      <c r="U47" s="61"/>
      <c r="V47" s="61"/>
      <c r="W47" s="61"/>
    </row>
    <row r="48" spans="1:23" x14ac:dyDescent="0.35">
      <c r="A48" s="61"/>
      <c r="B48" s="136">
        <f t="shared" si="0"/>
        <v>45110</v>
      </c>
      <c r="C48" s="137" t="str">
        <f>VLOOKUP(B48,'#1 Trip Dreaming'!$K$6:$M$30,3,TRUE)</f>
        <v xml:space="preserve"> </v>
      </c>
      <c r="D48" s="114" t="str">
        <f>IF(VLOOKUP(B48,'#2 Accomodations'!$B$7:$F$31,5,TRUE)=0," ",VLOOKUP(B48,'#2 Accomodations'!$B$7:$F$31,5,TRUE))</f>
        <v xml:space="preserve"> </v>
      </c>
      <c r="E48" s="137" t="str">
        <f>IF(Table2[[#This Row],[Location]]=C47," ", "Yes")</f>
        <v xml:space="preserve"> </v>
      </c>
      <c r="F48" s="188"/>
      <c r="G48" s="188"/>
      <c r="H48" s="188"/>
      <c r="I48" s="188"/>
      <c r="J48" s="61"/>
      <c r="K48" s="61"/>
      <c r="L48" s="61"/>
      <c r="M48" s="61"/>
      <c r="N48" s="61"/>
      <c r="O48" s="61"/>
      <c r="P48" s="61"/>
      <c r="Q48" s="61"/>
      <c r="R48" s="61"/>
      <c r="S48" s="61"/>
      <c r="T48" s="61"/>
      <c r="U48" s="61"/>
      <c r="V48" s="61"/>
      <c r="W48" s="61"/>
    </row>
    <row r="49" spans="1:23" x14ac:dyDescent="0.35">
      <c r="A49" s="61"/>
      <c r="B49" s="136">
        <f t="shared" si="0"/>
        <v>45111</v>
      </c>
      <c r="C49" s="137" t="str">
        <f>VLOOKUP(B49,'#1 Trip Dreaming'!$K$6:$M$30,3,TRUE)</f>
        <v xml:space="preserve"> </v>
      </c>
      <c r="D49" s="114" t="str">
        <f>IF(VLOOKUP(B49,'#2 Accomodations'!$B$7:$F$31,5,TRUE)=0," ",VLOOKUP(B49,'#2 Accomodations'!$B$7:$F$31,5,TRUE))</f>
        <v xml:space="preserve"> </v>
      </c>
      <c r="E49" s="137" t="str">
        <f>IF(Table2[[#This Row],[Location]]=C48," ", "Yes")</f>
        <v xml:space="preserve"> </v>
      </c>
      <c r="F49" s="188"/>
      <c r="G49" s="188"/>
      <c r="H49" s="188"/>
      <c r="I49" s="188"/>
      <c r="J49" s="61"/>
      <c r="K49" s="61"/>
      <c r="L49" s="61"/>
      <c r="M49" s="61"/>
      <c r="N49" s="61"/>
      <c r="O49" s="61"/>
      <c r="P49" s="61"/>
      <c r="Q49" s="61"/>
      <c r="R49" s="61"/>
      <c r="S49" s="61"/>
      <c r="T49" s="61"/>
      <c r="U49" s="61"/>
      <c r="V49" s="61"/>
      <c r="W49" s="61"/>
    </row>
    <row r="50" spans="1:23" x14ac:dyDescent="0.35">
      <c r="A50" s="61"/>
      <c r="B50" s="136">
        <f t="shared" si="0"/>
        <v>45112</v>
      </c>
      <c r="C50" s="137" t="str">
        <f>VLOOKUP(B50,'#1 Trip Dreaming'!$K$6:$M$30,3,TRUE)</f>
        <v xml:space="preserve"> </v>
      </c>
      <c r="D50" s="114" t="str">
        <f>IF(VLOOKUP(B50,'#2 Accomodations'!$B$7:$F$31,5,TRUE)=0," ",VLOOKUP(B50,'#2 Accomodations'!$B$7:$F$31,5,TRUE))</f>
        <v xml:space="preserve"> </v>
      </c>
      <c r="E50" s="137" t="str">
        <f>IF(Table2[[#This Row],[Location]]=C49," ", "Yes")</f>
        <v xml:space="preserve"> </v>
      </c>
      <c r="F50" s="188"/>
      <c r="G50" s="188"/>
      <c r="H50" s="188"/>
      <c r="I50" s="188"/>
      <c r="J50" s="61"/>
      <c r="K50" s="61"/>
      <c r="L50" s="61"/>
      <c r="M50" s="61"/>
      <c r="N50" s="61"/>
      <c r="O50" s="61"/>
      <c r="P50" s="61"/>
      <c r="Q50" s="61"/>
      <c r="R50" s="61"/>
      <c r="S50" s="61"/>
      <c r="T50" s="61"/>
      <c r="U50" s="61"/>
      <c r="V50" s="61"/>
      <c r="W50" s="61"/>
    </row>
    <row r="51" spans="1:23" x14ac:dyDescent="0.35">
      <c r="A51" s="61"/>
      <c r="B51" s="136">
        <f t="shared" si="0"/>
        <v>45113</v>
      </c>
      <c r="C51" s="137" t="str">
        <f>VLOOKUP(B51,'#1 Trip Dreaming'!$K$6:$M$30,3,TRUE)</f>
        <v xml:space="preserve"> </v>
      </c>
      <c r="D51" s="114" t="str">
        <f>IF(VLOOKUP(B51,'#2 Accomodations'!$B$7:$F$31,5,TRUE)=0," ",VLOOKUP(B51,'#2 Accomodations'!$B$7:$F$31,5,TRUE))</f>
        <v xml:space="preserve"> </v>
      </c>
      <c r="E51" s="137" t="str">
        <f>IF(Table2[[#This Row],[Location]]=C50," ", "Yes")</f>
        <v xml:space="preserve"> </v>
      </c>
      <c r="F51" s="188"/>
      <c r="G51" s="188"/>
      <c r="H51" s="188"/>
      <c r="I51" s="188"/>
      <c r="J51" s="61"/>
      <c r="K51" s="61"/>
      <c r="L51" s="61"/>
      <c r="M51" s="61"/>
      <c r="N51" s="61"/>
      <c r="O51" s="61"/>
      <c r="P51" s="61"/>
      <c r="Q51" s="61"/>
      <c r="R51" s="61"/>
      <c r="S51" s="61"/>
      <c r="T51" s="61"/>
      <c r="U51" s="61"/>
      <c r="V51" s="61"/>
      <c r="W51" s="61"/>
    </row>
    <row r="52" spans="1:23" x14ac:dyDescent="0.35">
      <c r="A52" s="61"/>
      <c r="B52" s="136">
        <f t="shared" si="0"/>
        <v>45114</v>
      </c>
      <c r="C52" s="137" t="str">
        <f>VLOOKUP(B52,'#1 Trip Dreaming'!$K$6:$M$30,3,TRUE)</f>
        <v xml:space="preserve"> </v>
      </c>
      <c r="D52" s="114" t="str">
        <f>IF(VLOOKUP(B52,'#2 Accomodations'!$B$7:$F$31,5,TRUE)=0," ",VLOOKUP(B52,'#2 Accomodations'!$B$7:$F$31,5,TRUE))</f>
        <v xml:space="preserve"> </v>
      </c>
      <c r="E52" s="137" t="str">
        <f>IF(Table2[[#This Row],[Location]]=C51," ", "Yes")</f>
        <v xml:space="preserve"> </v>
      </c>
      <c r="F52" s="188"/>
      <c r="G52" s="188"/>
      <c r="H52" s="188"/>
      <c r="I52" s="188"/>
      <c r="J52" s="61"/>
      <c r="K52" s="61"/>
      <c r="L52" s="61"/>
      <c r="M52" s="61"/>
      <c r="N52" s="61"/>
      <c r="O52" s="61"/>
      <c r="P52" s="61"/>
      <c r="Q52" s="61"/>
      <c r="R52" s="61"/>
      <c r="S52" s="61"/>
      <c r="T52" s="61"/>
      <c r="U52" s="61"/>
      <c r="V52" s="61"/>
      <c r="W52" s="61"/>
    </row>
    <row r="53" spans="1:23" x14ac:dyDescent="0.35">
      <c r="A53" s="61"/>
      <c r="B53" s="136">
        <f t="shared" si="0"/>
        <v>45115</v>
      </c>
      <c r="C53" s="137" t="str">
        <f>VLOOKUP(B53,'#1 Trip Dreaming'!$K$6:$M$30,3,TRUE)</f>
        <v xml:space="preserve"> </v>
      </c>
      <c r="D53" s="114" t="str">
        <f>IF(VLOOKUP(B53,'#2 Accomodations'!$B$7:$F$31,5,TRUE)=0," ",VLOOKUP(B53,'#2 Accomodations'!$B$7:$F$31,5,TRUE))</f>
        <v xml:space="preserve"> </v>
      </c>
      <c r="E53" s="137" t="str">
        <f>IF(Table2[[#This Row],[Location]]=C52," ", "Yes")</f>
        <v xml:space="preserve"> </v>
      </c>
      <c r="F53" s="188"/>
      <c r="G53" s="188"/>
      <c r="H53" s="188"/>
      <c r="I53" s="188"/>
      <c r="J53" s="61"/>
      <c r="K53" s="61"/>
      <c r="L53" s="61"/>
      <c r="M53" s="61"/>
      <c r="N53" s="61"/>
      <c r="O53" s="61"/>
      <c r="P53" s="61"/>
      <c r="Q53" s="61"/>
      <c r="R53" s="61"/>
      <c r="S53" s="61"/>
      <c r="T53" s="61"/>
      <c r="U53" s="61"/>
      <c r="V53" s="61"/>
      <c r="W53" s="61"/>
    </row>
    <row r="54" spans="1:23" x14ac:dyDescent="0.35">
      <c r="A54" s="61"/>
      <c r="B54" s="136">
        <f t="shared" si="0"/>
        <v>45116</v>
      </c>
      <c r="C54" s="137" t="str">
        <f>VLOOKUP(B54,'#1 Trip Dreaming'!$K$6:$M$30,3,TRUE)</f>
        <v xml:space="preserve"> </v>
      </c>
      <c r="D54" s="114" t="str">
        <f>IF(VLOOKUP(B54,'#2 Accomodations'!$B$7:$F$31,5,TRUE)=0," ",VLOOKUP(B54,'#2 Accomodations'!$B$7:$F$31,5,TRUE))</f>
        <v xml:space="preserve"> </v>
      </c>
      <c r="E54" s="137" t="str">
        <f>IF(Table2[[#This Row],[Location]]=C53," ", "Yes")</f>
        <v xml:space="preserve"> </v>
      </c>
      <c r="F54" s="188"/>
      <c r="G54" s="188"/>
      <c r="H54" s="188"/>
      <c r="I54" s="188"/>
      <c r="J54" s="61"/>
      <c r="K54" s="61"/>
      <c r="L54" s="61"/>
      <c r="M54" s="61"/>
      <c r="N54" s="61"/>
      <c r="O54" s="61"/>
      <c r="P54" s="61"/>
      <c r="Q54" s="61"/>
      <c r="R54" s="61"/>
      <c r="S54" s="61"/>
      <c r="T54" s="61"/>
      <c r="U54" s="61"/>
      <c r="V54" s="61"/>
      <c r="W54" s="61"/>
    </row>
    <row r="55" spans="1:23" x14ac:dyDescent="0.35">
      <c r="A55" s="61"/>
      <c r="B55" s="136">
        <f t="shared" si="0"/>
        <v>45117</v>
      </c>
      <c r="C55" s="137" t="str">
        <f>VLOOKUP(B55,'#1 Trip Dreaming'!$K$6:$M$30,3,TRUE)</f>
        <v xml:space="preserve"> </v>
      </c>
      <c r="D55" s="114" t="str">
        <f>IF(VLOOKUP(B55,'#2 Accomodations'!$B$7:$F$31,5,TRUE)=0," ",VLOOKUP(B55,'#2 Accomodations'!$B$7:$F$31,5,TRUE))</f>
        <v xml:space="preserve"> </v>
      </c>
      <c r="E55" s="137" t="str">
        <f>IF(Table2[[#This Row],[Location]]=C54," ", "Yes")</f>
        <v xml:space="preserve"> </v>
      </c>
      <c r="F55" s="188"/>
      <c r="G55" s="188"/>
      <c r="H55" s="188"/>
      <c r="I55" s="188"/>
      <c r="J55" s="61"/>
      <c r="K55" s="61"/>
      <c r="L55" s="61"/>
      <c r="M55" s="61"/>
      <c r="N55" s="61"/>
      <c r="O55" s="61"/>
      <c r="P55" s="61"/>
      <c r="Q55" s="61"/>
      <c r="R55" s="61"/>
      <c r="S55" s="61"/>
      <c r="T55" s="61"/>
      <c r="U55" s="61"/>
      <c r="V55" s="61"/>
      <c r="W55" s="61"/>
    </row>
    <row r="56" spans="1:23" x14ac:dyDescent="0.35">
      <c r="A56" s="61"/>
      <c r="B56" s="136">
        <f t="shared" si="0"/>
        <v>45118</v>
      </c>
      <c r="C56" s="137" t="str">
        <f>VLOOKUP(B56,'#1 Trip Dreaming'!$K$6:$M$30,3,TRUE)</f>
        <v xml:space="preserve"> </v>
      </c>
      <c r="D56" s="114" t="str">
        <f>IF(VLOOKUP(B56,'#2 Accomodations'!$B$7:$F$31,5,TRUE)=0," ",VLOOKUP(B56,'#2 Accomodations'!$B$7:$F$31,5,TRUE))</f>
        <v xml:space="preserve"> </v>
      </c>
      <c r="E56" s="137" t="str">
        <f>IF(Table2[[#This Row],[Location]]=C55," ", "Yes")</f>
        <v xml:space="preserve"> </v>
      </c>
      <c r="F56" s="188"/>
      <c r="G56" s="188"/>
      <c r="H56" s="188"/>
      <c r="I56" s="188"/>
      <c r="J56" s="61"/>
      <c r="K56" s="61"/>
      <c r="L56" s="61"/>
      <c r="M56" s="61"/>
      <c r="N56" s="61"/>
      <c r="O56" s="61"/>
      <c r="P56" s="61"/>
      <c r="Q56" s="61"/>
      <c r="R56" s="61"/>
      <c r="S56" s="61"/>
      <c r="T56" s="61"/>
      <c r="U56" s="61"/>
      <c r="V56" s="61"/>
      <c r="W56" s="61"/>
    </row>
    <row r="57" spans="1:23" x14ac:dyDescent="0.35">
      <c r="A57" s="61"/>
      <c r="B57" s="136">
        <f t="shared" si="0"/>
        <v>45119</v>
      </c>
      <c r="C57" s="137" t="str">
        <f>VLOOKUP(B57,'#1 Trip Dreaming'!$K$6:$M$30,3,TRUE)</f>
        <v xml:space="preserve"> </v>
      </c>
      <c r="D57" s="114" t="str">
        <f>IF(VLOOKUP(B57,'#2 Accomodations'!$B$7:$F$31,5,TRUE)=0," ",VLOOKUP(B57,'#2 Accomodations'!$B$7:$F$31,5,TRUE))</f>
        <v xml:space="preserve"> </v>
      </c>
      <c r="E57" s="137" t="str">
        <f>IF(Table2[[#This Row],[Location]]=C56," ", "Yes")</f>
        <v xml:space="preserve"> </v>
      </c>
      <c r="F57" s="188"/>
      <c r="G57" s="188"/>
      <c r="H57" s="188"/>
      <c r="I57" s="188"/>
      <c r="J57" s="61"/>
      <c r="K57" s="61"/>
      <c r="L57" s="61"/>
      <c r="M57" s="61"/>
      <c r="N57" s="61"/>
      <c r="O57" s="61"/>
      <c r="P57" s="61"/>
      <c r="Q57" s="61"/>
      <c r="R57" s="61"/>
      <c r="S57" s="61"/>
      <c r="T57" s="61"/>
      <c r="U57" s="61"/>
      <c r="V57" s="61"/>
      <c r="W57" s="61"/>
    </row>
    <row r="58" spans="1:23" x14ac:dyDescent="0.35">
      <c r="A58" s="61"/>
      <c r="B58" s="136">
        <f t="shared" si="0"/>
        <v>45120</v>
      </c>
      <c r="C58" s="137" t="str">
        <f>VLOOKUP(B58,'#1 Trip Dreaming'!$K$6:$M$30,3,TRUE)</f>
        <v xml:space="preserve"> </v>
      </c>
      <c r="D58" s="114" t="str">
        <f>IF(VLOOKUP(B58,'#2 Accomodations'!$B$7:$F$31,5,TRUE)=0," ",VLOOKUP(B58,'#2 Accomodations'!$B$7:$F$31,5,TRUE))</f>
        <v xml:space="preserve"> </v>
      </c>
      <c r="E58" s="137" t="str">
        <f>IF(Table2[[#This Row],[Location]]=C57," ", "Yes")</f>
        <v xml:space="preserve"> </v>
      </c>
      <c r="F58" s="188"/>
      <c r="G58" s="188"/>
      <c r="H58" s="188"/>
      <c r="I58" s="188"/>
      <c r="J58" s="61"/>
      <c r="K58" s="61"/>
      <c r="L58" s="61"/>
      <c r="M58" s="61"/>
      <c r="N58" s="61"/>
      <c r="O58" s="61"/>
      <c r="P58" s="61"/>
      <c r="Q58" s="61"/>
      <c r="R58" s="61"/>
      <c r="S58" s="61"/>
      <c r="T58" s="61"/>
      <c r="U58" s="61"/>
      <c r="V58" s="61"/>
      <c r="W58" s="61"/>
    </row>
    <row r="59" spans="1:23" x14ac:dyDescent="0.35">
      <c r="A59" s="61"/>
      <c r="B59" s="136">
        <f t="shared" si="0"/>
        <v>45121</v>
      </c>
      <c r="C59" s="137" t="str">
        <f>VLOOKUP(B59,'#1 Trip Dreaming'!$K$6:$M$30,3,TRUE)</f>
        <v xml:space="preserve"> </v>
      </c>
      <c r="D59" s="114" t="str">
        <f>IF(VLOOKUP(B59,'#2 Accomodations'!$B$7:$F$31,5,TRUE)=0," ",VLOOKUP(B59,'#2 Accomodations'!$B$7:$F$31,5,TRUE))</f>
        <v xml:space="preserve"> </v>
      </c>
      <c r="E59" s="137" t="str">
        <f>IF(Table2[[#This Row],[Location]]=C58," ", "Yes")</f>
        <v xml:space="preserve"> </v>
      </c>
      <c r="F59" s="188"/>
      <c r="G59" s="188"/>
      <c r="H59" s="188"/>
      <c r="I59" s="188"/>
      <c r="J59" s="61"/>
      <c r="K59" s="61"/>
      <c r="L59" s="61"/>
      <c r="M59" s="61"/>
      <c r="N59" s="61"/>
      <c r="O59" s="61"/>
      <c r="P59" s="61"/>
      <c r="Q59" s="61"/>
      <c r="R59" s="61"/>
      <c r="S59" s="61"/>
      <c r="T59" s="61"/>
      <c r="U59" s="61"/>
      <c r="V59" s="61"/>
      <c r="W59" s="61"/>
    </row>
    <row r="60" spans="1:23" x14ac:dyDescent="0.35">
      <c r="A60" s="61"/>
      <c r="B60" s="136">
        <f t="shared" si="0"/>
        <v>45122</v>
      </c>
      <c r="C60" s="137" t="str">
        <f>VLOOKUP(B60,'#1 Trip Dreaming'!$K$6:$M$30,3,TRUE)</f>
        <v xml:space="preserve"> </v>
      </c>
      <c r="D60" s="114" t="str">
        <f>IF(VLOOKUP(B60,'#2 Accomodations'!$B$7:$F$31,5,TRUE)=0," ",VLOOKUP(B60,'#2 Accomodations'!$B$7:$F$31,5,TRUE))</f>
        <v xml:space="preserve"> </v>
      </c>
      <c r="E60" s="137" t="str">
        <f>IF(Table2[[#This Row],[Location]]=C59," ", "Yes")</f>
        <v xml:space="preserve"> </v>
      </c>
      <c r="F60" s="188"/>
      <c r="G60" s="188"/>
      <c r="H60" s="188"/>
      <c r="I60" s="188"/>
      <c r="J60" s="61"/>
      <c r="K60" s="61"/>
      <c r="L60" s="61"/>
      <c r="M60" s="61"/>
      <c r="N60" s="61"/>
      <c r="O60" s="61"/>
      <c r="P60" s="61"/>
      <c r="Q60" s="61"/>
      <c r="R60" s="61"/>
      <c r="S60" s="61"/>
      <c r="T60" s="61"/>
      <c r="U60" s="61"/>
      <c r="V60" s="61"/>
      <c r="W60" s="61"/>
    </row>
    <row r="61" spans="1:23" x14ac:dyDescent="0.35">
      <c r="A61" s="61"/>
      <c r="B61" s="136">
        <f t="shared" si="0"/>
        <v>45123</v>
      </c>
      <c r="C61" s="137" t="str">
        <f>VLOOKUP(B61,'#1 Trip Dreaming'!$K$6:$M$30,3,TRUE)</f>
        <v xml:space="preserve"> </v>
      </c>
      <c r="D61" s="114" t="str">
        <f>IF(VLOOKUP(B61,'#2 Accomodations'!$B$7:$F$31,5,TRUE)=0," ",VLOOKUP(B61,'#2 Accomodations'!$B$7:$F$31,5,TRUE))</f>
        <v xml:space="preserve"> </v>
      </c>
      <c r="E61" s="137" t="str">
        <f>IF(Table2[[#This Row],[Location]]=C60," ", "Yes")</f>
        <v xml:space="preserve"> </v>
      </c>
      <c r="F61" s="188"/>
      <c r="G61" s="188"/>
      <c r="H61" s="188"/>
      <c r="I61" s="188"/>
      <c r="J61" s="61"/>
      <c r="K61" s="61"/>
      <c r="L61" s="61"/>
      <c r="M61" s="61"/>
      <c r="N61" s="61"/>
      <c r="O61" s="61"/>
      <c r="P61" s="61"/>
      <c r="Q61" s="61"/>
      <c r="R61" s="61"/>
      <c r="S61" s="61"/>
      <c r="T61" s="61"/>
      <c r="U61" s="61"/>
      <c r="V61" s="61"/>
      <c r="W61" s="61"/>
    </row>
    <row r="62" spans="1:23" x14ac:dyDescent="0.35">
      <c r="A62" s="61"/>
      <c r="B62" s="136">
        <f t="shared" si="0"/>
        <v>45124</v>
      </c>
      <c r="C62" s="137" t="str">
        <f>VLOOKUP(B62,'#1 Trip Dreaming'!$K$6:$M$30,3,TRUE)</f>
        <v xml:space="preserve"> </v>
      </c>
      <c r="D62" s="114" t="str">
        <f>IF(VLOOKUP(B62,'#2 Accomodations'!$B$7:$F$31,5,TRUE)=0," ",VLOOKUP(B62,'#2 Accomodations'!$B$7:$F$31,5,TRUE))</f>
        <v xml:space="preserve"> </v>
      </c>
      <c r="E62" s="137" t="str">
        <f>IF(Table2[[#This Row],[Location]]=C61," ", "Yes")</f>
        <v xml:space="preserve"> </v>
      </c>
      <c r="F62" s="188"/>
      <c r="G62" s="188"/>
      <c r="H62" s="188"/>
      <c r="I62" s="188"/>
      <c r="J62" s="61"/>
      <c r="K62" s="61"/>
      <c r="L62" s="61"/>
      <c r="M62" s="61"/>
      <c r="N62" s="61"/>
      <c r="O62" s="61"/>
      <c r="P62" s="61"/>
      <c r="Q62" s="61"/>
      <c r="R62" s="61"/>
      <c r="S62" s="61"/>
      <c r="T62" s="61"/>
      <c r="U62" s="61"/>
      <c r="V62" s="61"/>
      <c r="W62" s="61"/>
    </row>
    <row r="63" spans="1:23" x14ac:dyDescent="0.35">
      <c r="A63" s="61"/>
      <c r="B63" s="136">
        <f t="shared" si="0"/>
        <v>45125</v>
      </c>
      <c r="C63" s="137" t="str">
        <f>VLOOKUP(B63,'#1 Trip Dreaming'!$K$6:$M$30,3,TRUE)</f>
        <v xml:space="preserve"> </v>
      </c>
      <c r="D63" s="114" t="str">
        <f>IF(VLOOKUP(B63,'#2 Accomodations'!$B$7:$F$31,5,TRUE)=0," ",VLOOKUP(B63,'#2 Accomodations'!$B$7:$F$31,5,TRUE))</f>
        <v xml:space="preserve"> </v>
      </c>
      <c r="E63" s="137" t="str">
        <f>IF(Table2[[#This Row],[Location]]=C62," ", "Yes")</f>
        <v xml:space="preserve"> </v>
      </c>
      <c r="F63" s="188"/>
      <c r="G63" s="188"/>
      <c r="H63" s="188"/>
      <c r="I63" s="188"/>
      <c r="J63" s="61"/>
      <c r="K63" s="61"/>
      <c r="L63" s="61"/>
      <c r="M63" s="61"/>
      <c r="N63" s="61"/>
      <c r="O63" s="61"/>
      <c r="P63" s="61"/>
      <c r="Q63" s="61"/>
      <c r="R63" s="61"/>
      <c r="S63" s="61"/>
      <c r="T63" s="61"/>
      <c r="U63" s="61"/>
      <c r="V63" s="61"/>
      <c r="W63" s="61"/>
    </row>
    <row r="64" spans="1:23" x14ac:dyDescent="0.35">
      <c r="A64" s="61"/>
      <c r="B64" s="136">
        <f t="shared" si="0"/>
        <v>45126</v>
      </c>
      <c r="C64" s="137" t="str">
        <f>VLOOKUP(B64,'#1 Trip Dreaming'!$K$6:$M$30,3,TRUE)</f>
        <v xml:space="preserve"> </v>
      </c>
      <c r="D64" s="114" t="str">
        <f>IF(VLOOKUP(B64,'#2 Accomodations'!$B$7:$F$31,5,TRUE)=0," ",VLOOKUP(B64,'#2 Accomodations'!$B$7:$F$31,5,TRUE))</f>
        <v xml:space="preserve"> </v>
      </c>
      <c r="E64" s="137" t="str">
        <f>IF(Table2[[#This Row],[Location]]=C63," ", "Yes")</f>
        <v xml:space="preserve"> </v>
      </c>
      <c r="F64" s="188"/>
      <c r="G64" s="188"/>
      <c r="H64" s="188"/>
      <c r="I64" s="188"/>
      <c r="J64" s="61"/>
      <c r="K64" s="61"/>
      <c r="L64" s="61"/>
      <c r="M64" s="61"/>
      <c r="N64" s="61"/>
      <c r="O64" s="61"/>
      <c r="P64" s="61"/>
      <c r="Q64" s="61"/>
      <c r="R64" s="61"/>
      <c r="S64" s="61"/>
      <c r="T64" s="61"/>
      <c r="U64" s="61"/>
      <c r="V64" s="61"/>
      <c r="W64" s="61"/>
    </row>
    <row r="65" spans="1:23" x14ac:dyDescent="0.35">
      <c r="A65" s="61"/>
      <c r="B65" s="136">
        <f t="shared" si="0"/>
        <v>45127</v>
      </c>
      <c r="C65" s="137" t="str">
        <f>VLOOKUP(B65,'#1 Trip Dreaming'!$K$6:$M$30,3,TRUE)</f>
        <v xml:space="preserve"> </v>
      </c>
      <c r="D65" s="114" t="str">
        <f>IF(VLOOKUP(B65,'#2 Accomodations'!$B$7:$F$31,5,TRUE)=0," ",VLOOKUP(B65,'#2 Accomodations'!$B$7:$F$31,5,TRUE))</f>
        <v xml:space="preserve"> </v>
      </c>
      <c r="E65" s="137" t="str">
        <f>IF(Table2[[#This Row],[Location]]=C64," ", "Yes")</f>
        <v xml:space="preserve"> </v>
      </c>
      <c r="F65" s="188"/>
      <c r="G65" s="188"/>
      <c r="H65" s="188"/>
      <c r="I65" s="188"/>
      <c r="J65" s="61"/>
      <c r="K65" s="61"/>
      <c r="L65" s="61"/>
      <c r="M65" s="61"/>
      <c r="N65" s="61"/>
      <c r="O65" s="61"/>
      <c r="P65" s="61"/>
      <c r="Q65" s="61"/>
      <c r="R65" s="61"/>
      <c r="S65" s="61"/>
      <c r="T65" s="61"/>
      <c r="U65" s="61"/>
      <c r="V65" s="61"/>
      <c r="W65" s="61"/>
    </row>
    <row r="66" spans="1:23" x14ac:dyDescent="0.35">
      <c r="A66" s="61"/>
      <c r="B66" s="136">
        <f t="shared" si="0"/>
        <v>45128</v>
      </c>
      <c r="C66" s="137" t="str">
        <f>VLOOKUP(B66,'#1 Trip Dreaming'!$K$6:$M$30,3,TRUE)</f>
        <v xml:space="preserve"> </v>
      </c>
      <c r="D66" s="114" t="str">
        <f>IF(VLOOKUP(B66,'#2 Accomodations'!$B$7:$F$31,5,TRUE)=0," ",VLOOKUP(B66,'#2 Accomodations'!$B$7:$F$31,5,TRUE))</f>
        <v xml:space="preserve"> </v>
      </c>
      <c r="E66" s="137" t="str">
        <f>IF(Table2[[#This Row],[Location]]=C65," ", "Yes")</f>
        <v xml:space="preserve"> </v>
      </c>
      <c r="F66" s="188"/>
      <c r="G66" s="188"/>
      <c r="H66" s="188"/>
      <c r="I66" s="188"/>
      <c r="J66" s="61"/>
      <c r="K66" s="61"/>
      <c r="L66" s="61"/>
      <c r="M66" s="61"/>
      <c r="N66" s="61"/>
      <c r="O66" s="61"/>
      <c r="P66" s="61"/>
      <c r="Q66" s="61"/>
      <c r="R66" s="61"/>
      <c r="S66" s="61"/>
      <c r="T66" s="61"/>
      <c r="U66" s="61"/>
      <c r="V66" s="61"/>
      <c r="W66" s="61"/>
    </row>
    <row r="67" spans="1:23" x14ac:dyDescent="0.35">
      <c r="A67" s="61"/>
      <c r="B67" s="136">
        <f t="shared" si="0"/>
        <v>45129</v>
      </c>
      <c r="C67" s="137" t="str">
        <f>VLOOKUP(B67,'#1 Trip Dreaming'!$K$6:$M$30,3,TRUE)</f>
        <v xml:space="preserve"> </v>
      </c>
      <c r="D67" s="114" t="str">
        <f>IF(VLOOKUP(B67,'#2 Accomodations'!$B$7:$F$31,5,TRUE)=0," ",VLOOKUP(B67,'#2 Accomodations'!$B$7:$F$31,5,TRUE))</f>
        <v xml:space="preserve"> </v>
      </c>
      <c r="E67" s="137" t="str">
        <f>IF(Table2[[#This Row],[Location]]=C66," ", "Yes")</f>
        <v xml:space="preserve"> </v>
      </c>
      <c r="F67" s="188"/>
      <c r="G67" s="188"/>
      <c r="H67" s="188"/>
      <c r="I67" s="188"/>
      <c r="J67" s="61"/>
      <c r="K67" s="61"/>
      <c r="L67" s="61"/>
      <c r="M67" s="61"/>
      <c r="N67" s="61"/>
      <c r="O67" s="61"/>
      <c r="P67" s="61"/>
      <c r="Q67" s="61"/>
      <c r="R67" s="61"/>
      <c r="S67" s="61"/>
      <c r="T67" s="61"/>
      <c r="U67" s="61"/>
      <c r="V67" s="61"/>
      <c r="W67" s="61"/>
    </row>
    <row r="68" spans="1:23" x14ac:dyDescent="0.35">
      <c r="A68" s="61"/>
      <c r="B68" s="136">
        <f t="shared" si="0"/>
        <v>45130</v>
      </c>
      <c r="C68" s="137" t="str">
        <f>VLOOKUP(B68,'#1 Trip Dreaming'!$K$6:$M$30,3,TRUE)</f>
        <v xml:space="preserve"> </v>
      </c>
      <c r="D68" s="114" t="str">
        <f>IF(VLOOKUP(B68,'#2 Accomodations'!$B$7:$F$31,5,TRUE)=0," ",VLOOKUP(B68,'#2 Accomodations'!$B$7:$F$31,5,TRUE))</f>
        <v xml:space="preserve"> </v>
      </c>
      <c r="E68" s="137" t="str">
        <f>IF(Table2[[#This Row],[Location]]=C67," ", "Yes")</f>
        <v xml:space="preserve"> </v>
      </c>
      <c r="F68" s="188"/>
      <c r="G68" s="188"/>
      <c r="H68" s="188"/>
      <c r="I68" s="188"/>
      <c r="J68" s="61"/>
      <c r="K68" s="61"/>
      <c r="L68" s="61"/>
      <c r="M68" s="61"/>
      <c r="N68" s="61"/>
      <c r="O68" s="61"/>
      <c r="P68" s="61"/>
      <c r="Q68" s="61"/>
      <c r="R68" s="61"/>
      <c r="S68" s="61"/>
      <c r="T68" s="61"/>
      <c r="U68" s="61"/>
      <c r="V68" s="61"/>
      <c r="W68" s="61"/>
    </row>
    <row r="69" spans="1:23" x14ac:dyDescent="0.35">
      <c r="A69" s="61"/>
      <c r="B69" s="136">
        <f t="shared" si="0"/>
        <v>45131</v>
      </c>
      <c r="C69" s="137" t="str">
        <f>VLOOKUP(B69,'#1 Trip Dreaming'!$K$6:$M$30,3,TRUE)</f>
        <v xml:space="preserve"> </v>
      </c>
      <c r="D69" s="114" t="str">
        <f>IF(VLOOKUP(B69,'#2 Accomodations'!$B$7:$F$31,5,TRUE)=0," ",VLOOKUP(B69,'#2 Accomodations'!$B$7:$F$31,5,TRUE))</f>
        <v xml:space="preserve"> </v>
      </c>
      <c r="E69" s="137" t="str">
        <f>IF(Table2[[#This Row],[Location]]=C68," ", "Yes")</f>
        <v xml:space="preserve"> </v>
      </c>
      <c r="F69" s="188"/>
      <c r="G69" s="188"/>
      <c r="H69" s="188"/>
      <c r="I69" s="188"/>
      <c r="J69" s="61"/>
      <c r="K69" s="61"/>
      <c r="L69" s="61"/>
      <c r="M69" s="61"/>
      <c r="N69" s="61"/>
      <c r="O69" s="61"/>
      <c r="P69" s="61"/>
      <c r="Q69" s="61"/>
      <c r="R69" s="61"/>
      <c r="S69" s="61"/>
      <c r="T69" s="61"/>
      <c r="U69" s="61"/>
      <c r="V69" s="61"/>
      <c r="W69" s="61"/>
    </row>
    <row r="70" spans="1:23" x14ac:dyDescent="0.35">
      <c r="A70" s="61"/>
      <c r="B70" s="136">
        <f t="shared" si="0"/>
        <v>45132</v>
      </c>
      <c r="C70" s="137" t="str">
        <f>VLOOKUP(B70,'#1 Trip Dreaming'!$K$6:$M$30,3,TRUE)</f>
        <v xml:space="preserve"> </v>
      </c>
      <c r="D70" s="114" t="str">
        <f>IF(VLOOKUP(B70,'#2 Accomodations'!$B$7:$F$31,5,TRUE)=0," ",VLOOKUP(B70,'#2 Accomodations'!$B$7:$F$31,5,TRUE))</f>
        <v xml:space="preserve"> </v>
      </c>
      <c r="E70" s="137" t="str">
        <f>IF(Table2[[#This Row],[Location]]=C69," ", "Yes")</f>
        <v xml:space="preserve"> </v>
      </c>
      <c r="F70" s="188"/>
      <c r="G70" s="188"/>
      <c r="H70" s="188"/>
      <c r="I70" s="188"/>
      <c r="J70" s="61"/>
      <c r="K70" s="61"/>
      <c r="L70" s="61"/>
      <c r="M70" s="61"/>
      <c r="N70" s="61"/>
      <c r="O70" s="61"/>
      <c r="P70" s="61"/>
      <c r="Q70" s="61"/>
      <c r="R70" s="61"/>
      <c r="S70" s="61"/>
      <c r="T70" s="61"/>
      <c r="U70" s="61"/>
      <c r="V70" s="61"/>
      <c r="W70" s="61"/>
    </row>
    <row r="71" spans="1:23" x14ac:dyDescent="0.35">
      <c r="A71" s="61"/>
      <c r="B71" s="136">
        <f t="shared" si="0"/>
        <v>45133</v>
      </c>
      <c r="C71" s="137" t="str">
        <f>VLOOKUP(B71,'#1 Trip Dreaming'!$K$6:$M$30,3,TRUE)</f>
        <v xml:space="preserve"> </v>
      </c>
      <c r="D71" s="114" t="str">
        <f>IF(VLOOKUP(B71,'#2 Accomodations'!$B$7:$F$31,5,TRUE)=0," ",VLOOKUP(B71,'#2 Accomodations'!$B$7:$F$31,5,TRUE))</f>
        <v xml:space="preserve"> </v>
      </c>
      <c r="E71" s="137" t="str">
        <f>IF(Table2[[#This Row],[Location]]=C70," ", "Yes")</f>
        <v xml:space="preserve"> </v>
      </c>
      <c r="F71" s="188"/>
      <c r="G71" s="188"/>
      <c r="H71" s="188"/>
      <c r="I71" s="188"/>
      <c r="J71" s="61"/>
      <c r="K71" s="61"/>
      <c r="L71" s="61"/>
      <c r="M71" s="61"/>
      <c r="N71" s="61"/>
      <c r="O71" s="61"/>
      <c r="P71" s="61"/>
      <c r="Q71" s="61"/>
      <c r="R71" s="61"/>
      <c r="S71" s="61"/>
      <c r="T71" s="61"/>
      <c r="U71" s="61"/>
      <c r="V71" s="61"/>
      <c r="W71" s="61"/>
    </row>
    <row r="72" spans="1:23" x14ac:dyDescent="0.35">
      <c r="A72" s="61"/>
      <c r="B72" s="136">
        <f t="shared" si="0"/>
        <v>45134</v>
      </c>
      <c r="C72" s="137" t="str">
        <f>VLOOKUP(B72,'#1 Trip Dreaming'!$K$6:$M$30,3,TRUE)</f>
        <v xml:space="preserve"> </v>
      </c>
      <c r="D72" s="114" t="str">
        <f>IF(VLOOKUP(B72,'#2 Accomodations'!$B$7:$F$31,5,TRUE)=0," ",VLOOKUP(B72,'#2 Accomodations'!$B$7:$F$31,5,TRUE))</f>
        <v xml:space="preserve"> </v>
      </c>
      <c r="E72" s="137" t="str">
        <f>IF(Table2[[#This Row],[Location]]=C71," ", "Yes")</f>
        <v xml:space="preserve"> </v>
      </c>
      <c r="F72" s="188"/>
      <c r="G72" s="188"/>
      <c r="H72" s="188"/>
      <c r="I72" s="188"/>
      <c r="J72" s="61"/>
      <c r="K72" s="61"/>
      <c r="L72" s="61"/>
      <c r="M72" s="61"/>
      <c r="N72" s="61"/>
      <c r="O72" s="61"/>
      <c r="P72" s="61"/>
      <c r="Q72" s="61"/>
      <c r="R72" s="61"/>
      <c r="S72" s="61"/>
      <c r="T72" s="61"/>
      <c r="U72" s="61"/>
      <c r="V72" s="61"/>
      <c r="W72" s="61"/>
    </row>
    <row r="73" spans="1:23" x14ac:dyDescent="0.35">
      <c r="A73" s="61"/>
      <c r="B73" s="136">
        <f t="shared" si="0"/>
        <v>45135</v>
      </c>
      <c r="C73" s="137" t="str">
        <f>VLOOKUP(B73,'#1 Trip Dreaming'!$K$6:$M$30,3,TRUE)</f>
        <v xml:space="preserve"> </v>
      </c>
      <c r="D73" s="114" t="str">
        <f>IF(VLOOKUP(B73,'#2 Accomodations'!$B$7:$F$31,5,TRUE)=0," ",VLOOKUP(B73,'#2 Accomodations'!$B$7:$F$31,5,TRUE))</f>
        <v xml:space="preserve"> </v>
      </c>
      <c r="E73" s="137" t="str">
        <f>IF(Table2[[#This Row],[Location]]=C72," ", "Yes")</f>
        <v xml:space="preserve"> </v>
      </c>
      <c r="F73" s="188"/>
      <c r="G73" s="188"/>
      <c r="H73" s="188"/>
      <c r="I73" s="188"/>
      <c r="J73" s="61"/>
      <c r="K73" s="61"/>
      <c r="L73" s="61"/>
      <c r="M73" s="61"/>
      <c r="N73" s="61"/>
      <c r="O73" s="61"/>
      <c r="P73" s="61"/>
      <c r="Q73" s="61"/>
      <c r="R73" s="61"/>
      <c r="S73" s="61"/>
      <c r="T73" s="61"/>
      <c r="U73" s="61"/>
      <c r="V73" s="61"/>
      <c r="W73" s="61"/>
    </row>
    <row r="74" spans="1:23" x14ac:dyDescent="0.35">
      <c r="A74" s="61"/>
      <c r="B74" s="136">
        <f t="shared" si="0"/>
        <v>45136</v>
      </c>
      <c r="C74" s="137" t="str">
        <f>VLOOKUP(B74,'#1 Trip Dreaming'!$K$6:$M$30,3,TRUE)</f>
        <v xml:space="preserve"> </v>
      </c>
      <c r="D74" s="114" t="str">
        <f>IF(VLOOKUP(B74,'#2 Accomodations'!$B$7:$F$31,5,TRUE)=0," ",VLOOKUP(B74,'#2 Accomodations'!$B$7:$F$31,5,TRUE))</f>
        <v xml:space="preserve"> </v>
      </c>
      <c r="E74" s="137" t="str">
        <f>IF(Table2[[#This Row],[Location]]=C73," ", "Yes")</f>
        <v xml:space="preserve"> </v>
      </c>
      <c r="F74" s="188"/>
      <c r="G74" s="188"/>
      <c r="H74" s="188"/>
      <c r="I74" s="188"/>
      <c r="J74" s="61"/>
      <c r="K74" s="61"/>
      <c r="L74" s="61"/>
      <c r="M74" s="61"/>
      <c r="N74" s="61"/>
      <c r="O74" s="61"/>
      <c r="P74" s="61"/>
      <c r="Q74" s="61"/>
      <c r="R74" s="61"/>
      <c r="S74" s="61"/>
      <c r="T74" s="61"/>
      <c r="U74" s="61"/>
      <c r="V74" s="61"/>
      <c r="W74" s="61"/>
    </row>
    <row r="75" spans="1:23" x14ac:dyDescent="0.35">
      <c r="A75" s="61"/>
      <c r="B75" s="136">
        <f t="shared" ref="B75:B108" si="1">B74+1</f>
        <v>45137</v>
      </c>
      <c r="C75" s="137" t="str">
        <f>VLOOKUP(B75,'#1 Trip Dreaming'!$K$6:$M$30,3,TRUE)</f>
        <v xml:space="preserve"> </v>
      </c>
      <c r="D75" s="114" t="str">
        <f>IF(VLOOKUP(B75,'#2 Accomodations'!$B$7:$F$31,5,TRUE)=0," ",VLOOKUP(B75,'#2 Accomodations'!$B$7:$F$31,5,TRUE))</f>
        <v xml:space="preserve"> </v>
      </c>
      <c r="E75" s="137" t="str">
        <f>IF(Table2[[#This Row],[Location]]=C74," ", "Yes")</f>
        <v xml:space="preserve"> </v>
      </c>
      <c r="F75" s="188"/>
      <c r="G75" s="188"/>
      <c r="H75" s="188"/>
      <c r="I75" s="188"/>
      <c r="J75" s="61"/>
      <c r="K75" s="61"/>
      <c r="L75" s="61"/>
      <c r="M75" s="61"/>
      <c r="N75" s="61"/>
      <c r="O75" s="61"/>
      <c r="P75" s="61"/>
      <c r="Q75" s="61"/>
      <c r="R75" s="61"/>
      <c r="S75" s="61"/>
      <c r="T75" s="61"/>
      <c r="U75" s="61"/>
      <c r="V75" s="61"/>
      <c r="W75" s="61"/>
    </row>
    <row r="76" spans="1:23" x14ac:dyDescent="0.35">
      <c r="A76" s="61"/>
      <c r="B76" s="136">
        <f t="shared" si="1"/>
        <v>45138</v>
      </c>
      <c r="C76" s="137" t="str">
        <f>VLOOKUP(B76,'#1 Trip Dreaming'!$K$6:$M$30,3,TRUE)</f>
        <v xml:space="preserve"> </v>
      </c>
      <c r="D76" s="114" t="str">
        <f>IF(VLOOKUP(B76,'#2 Accomodations'!$B$7:$F$31,5,TRUE)=0," ",VLOOKUP(B76,'#2 Accomodations'!$B$7:$F$31,5,TRUE))</f>
        <v xml:space="preserve"> </v>
      </c>
      <c r="E76" s="137" t="str">
        <f>IF(Table2[[#This Row],[Location]]=C75," ", "Yes")</f>
        <v xml:space="preserve"> </v>
      </c>
      <c r="F76" s="188"/>
      <c r="G76" s="188"/>
      <c r="H76" s="188"/>
      <c r="I76" s="188"/>
      <c r="J76" s="61"/>
      <c r="K76" s="61"/>
      <c r="L76" s="61"/>
      <c r="M76" s="61"/>
      <c r="N76" s="61"/>
      <c r="O76" s="61"/>
      <c r="P76" s="61"/>
      <c r="Q76" s="61"/>
      <c r="R76" s="61"/>
      <c r="S76" s="61"/>
      <c r="T76" s="61"/>
      <c r="U76" s="61"/>
      <c r="V76" s="61"/>
      <c r="W76" s="61"/>
    </row>
    <row r="77" spans="1:23" x14ac:dyDescent="0.35">
      <c r="A77" s="61"/>
      <c r="B77" s="136">
        <f t="shared" si="1"/>
        <v>45139</v>
      </c>
      <c r="C77" s="137" t="str">
        <f>VLOOKUP(B77,'#1 Trip Dreaming'!$K$6:$M$30,3,TRUE)</f>
        <v xml:space="preserve"> </v>
      </c>
      <c r="D77" s="114" t="str">
        <f>IF(VLOOKUP(B77,'#2 Accomodations'!$B$7:$F$31,5,TRUE)=0," ",VLOOKUP(B77,'#2 Accomodations'!$B$7:$F$31,5,TRUE))</f>
        <v xml:space="preserve"> </v>
      </c>
      <c r="E77" s="137" t="str">
        <f>IF(Table2[[#This Row],[Location]]=C76," ", "Yes")</f>
        <v xml:space="preserve"> </v>
      </c>
      <c r="F77" s="188"/>
      <c r="G77" s="188"/>
      <c r="H77" s="188"/>
      <c r="I77" s="188"/>
      <c r="J77" s="61"/>
      <c r="K77" s="61"/>
      <c r="L77" s="61"/>
      <c r="M77" s="61"/>
      <c r="N77" s="61"/>
      <c r="O77" s="61"/>
      <c r="P77" s="61"/>
      <c r="Q77" s="61"/>
      <c r="R77" s="61"/>
      <c r="S77" s="61"/>
      <c r="T77" s="61"/>
      <c r="U77" s="61"/>
      <c r="V77" s="61"/>
      <c r="W77" s="61"/>
    </row>
    <row r="78" spans="1:23" x14ac:dyDescent="0.35">
      <c r="A78" s="61"/>
      <c r="B78" s="136">
        <f t="shared" si="1"/>
        <v>45140</v>
      </c>
      <c r="C78" s="137" t="str">
        <f>VLOOKUP(B78,'#1 Trip Dreaming'!$K$6:$M$30,3,TRUE)</f>
        <v xml:space="preserve"> </v>
      </c>
      <c r="D78" s="114" t="str">
        <f>IF(VLOOKUP(B78,'#2 Accomodations'!$B$7:$F$31,5,TRUE)=0," ",VLOOKUP(B78,'#2 Accomodations'!$B$7:$F$31,5,TRUE))</f>
        <v xml:space="preserve"> </v>
      </c>
      <c r="E78" s="137" t="str">
        <f>IF(Table2[[#This Row],[Location]]=C77," ", "Yes")</f>
        <v xml:space="preserve"> </v>
      </c>
      <c r="F78" s="188"/>
      <c r="G78" s="188"/>
      <c r="H78" s="188"/>
      <c r="I78" s="188"/>
      <c r="J78" s="61"/>
      <c r="K78" s="61"/>
      <c r="L78" s="61"/>
      <c r="M78" s="61"/>
      <c r="N78" s="61"/>
      <c r="O78" s="61"/>
      <c r="P78" s="61"/>
      <c r="Q78" s="61"/>
      <c r="R78" s="61"/>
      <c r="S78" s="61"/>
      <c r="T78" s="61"/>
      <c r="U78" s="61"/>
      <c r="V78" s="61"/>
      <c r="W78" s="61"/>
    </row>
    <row r="79" spans="1:23" x14ac:dyDescent="0.35">
      <c r="A79" s="61"/>
      <c r="B79" s="136">
        <f t="shared" si="1"/>
        <v>45141</v>
      </c>
      <c r="C79" s="137" t="str">
        <f>VLOOKUP(B79,'#1 Trip Dreaming'!$K$6:$M$30,3,TRUE)</f>
        <v xml:space="preserve"> </v>
      </c>
      <c r="D79" s="114" t="str">
        <f>IF(VLOOKUP(B79,'#2 Accomodations'!$B$7:$F$31,5,TRUE)=0," ",VLOOKUP(B79,'#2 Accomodations'!$B$7:$F$31,5,TRUE))</f>
        <v xml:space="preserve"> </v>
      </c>
      <c r="E79" s="137" t="str">
        <f>IF(Table2[[#This Row],[Location]]=C78," ", "Yes")</f>
        <v xml:space="preserve"> </v>
      </c>
      <c r="F79" s="188"/>
      <c r="G79" s="188"/>
      <c r="H79" s="188"/>
      <c r="I79" s="188"/>
      <c r="J79" s="61"/>
      <c r="K79" s="61"/>
      <c r="L79" s="61"/>
      <c r="M79" s="61"/>
      <c r="N79" s="61"/>
      <c r="O79" s="61"/>
      <c r="P79" s="61"/>
      <c r="Q79" s="61"/>
      <c r="R79" s="61"/>
      <c r="S79" s="61"/>
      <c r="T79" s="61"/>
      <c r="U79" s="61"/>
      <c r="V79" s="61"/>
      <c r="W79" s="61"/>
    </row>
    <row r="80" spans="1:23" x14ac:dyDescent="0.35">
      <c r="A80" s="61"/>
      <c r="B80" s="136">
        <f t="shared" si="1"/>
        <v>45142</v>
      </c>
      <c r="C80" s="137" t="str">
        <f>VLOOKUP(B80,'#1 Trip Dreaming'!$K$6:$M$30,3,TRUE)</f>
        <v xml:space="preserve"> </v>
      </c>
      <c r="D80" s="114" t="str">
        <f>IF(VLOOKUP(B80,'#2 Accomodations'!$B$7:$F$31,5,TRUE)=0," ",VLOOKUP(B80,'#2 Accomodations'!$B$7:$F$31,5,TRUE))</f>
        <v xml:space="preserve"> </v>
      </c>
      <c r="E80" s="137" t="str">
        <f>IF(Table2[[#This Row],[Location]]=C79," ", "Yes")</f>
        <v xml:space="preserve"> </v>
      </c>
      <c r="F80" s="188"/>
      <c r="G80" s="188"/>
      <c r="H80" s="188"/>
      <c r="I80" s="188"/>
      <c r="J80" s="61"/>
      <c r="K80" s="61"/>
      <c r="L80" s="61"/>
      <c r="M80" s="61"/>
      <c r="N80" s="61"/>
      <c r="O80" s="61"/>
      <c r="P80" s="61"/>
      <c r="Q80" s="61"/>
      <c r="R80" s="61"/>
      <c r="S80" s="61"/>
      <c r="T80" s="61"/>
      <c r="U80" s="61"/>
      <c r="V80" s="61"/>
      <c r="W80" s="61"/>
    </row>
    <row r="81" spans="1:23" x14ac:dyDescent="0.35">
      <c r="A81" s="61"/>
      <c r="B81" s="136">
        <f t="shared" si="1"/>
        <v>45143</v>
      </c>
      <c r="C81" s="137" t="str">
        <f>VLOOKUP(B81,'#1 Trip Dreaming'!$K$6:$M$30,3,TRUE)</f>
        <v xml:space="preserve"> </v>
      </c>
      <c r="D81" s="114" t="str">
        <f>IF(VLOOKUP(B81,'#2 Accomodations'!$B$7:$F$31,5,TRUE)=0," ",VLOOKUP(B81,'#2 Accomodations'!$B$7:$F$31,5,TRUE))</f>
        <v xml:space="preserve"> </v>
      </c>
      <c r="E81" s="137" t="str">
        <f>IF(Table2[[#This Row],[Location]]=C80," ", "Yes")</f>
        <v xml:space="preserve"> </v>
      </c>
      <c r="F81" s="188"/>
      <c r="G81" s="188"/>
      <c r="H81" s="188"/>
      <c r="I81" s="188"/>
      <c r="J81" s="61"/>
      <c r="K81" s="61"/>
      <c r="L81" s="61"/>
      <c r="M81" s="61"/>
      <c r="N81" s="61"/>
      <c r="O81" s="61"/>
      <c r="P81" s="61"/>
      <c r="Q81" s="61"/>
      <c r="R81" s="61"/>
      <c r="S81" s="61"/>
      <c r="T81" s="61"/>
      <c r="U81" s="61"/>
      <c r="V81" s="61"/>
      <c r="W81" s="61"/>
    </row>
    <row r="82" spans="1:23" x14ac:dyDescent="0.35">
      <c r="A82" s="61"/>
      <c r="B82" s="136">
        <f t="shared" si="1"/>
        <v>45144</v>
      </c>
      <c r="C82" s="137" t="str">
        <f>VLOOKUP(B82,'#1 Trip Dreaming'!$K$6:$M$30,3,TRUE)</f>
        <v xml:space="preserve"> </v>
      </c>
      <c r="D82" s="114" t="str">
        <f>IF(VLOOKUP(B82,'#2 Accomodations'!$B$7:$F$31,5,TRUE)=0," ",VLOOKUP(B82,'#2 Accomodations'!$B$7:$F$31,5,TRUE))</f>
        <v xml:space="preserve"> </v>
      </c>
      <c r="E82" s="137" t="str">
        <f>IF(Table2[[#This Row],[Location]]=C81," ", "Yes")</f>
        <v xml:space="preserve"> </v>
      </c>
      <c r="F82" s="188"/>
      <c r="G82" s="188"/>
      <c r="H82" s="188"/>
      <c r="I82" s="188"/>
      <c r="J82" s="61"/>
      <c r="K82" s="61"/>
      <c r="L82" s="61"/>
      <c r="M82" s="61"/>
      <c r="N82" s="61"/>
      <c r="O82" s="61"/>
      <c r="P82" s="61"/>
      <c r="Q82" s="61"/>
      <c r="R82" s="61"/>
      <c r="S82" s="61"/>
      <c r="T82" s="61"/>
      <c r="U82" s="61"/>
      <c r="V82" s="61"/>
      <c r="W82" s="61"/>
    </row>
    <row r="83" spans="1:23" x14ac:dyDescent="0.35">
      <c r="A83" s="61"/>
      <c r="B83" s="136">
        <f t="shared" si="1"/>
        <v>45145</v>
      </c>
      <c r="C83" s="137" t="str">
        <f>VLOOKUP(B83,'#1 Trip Dreaming'!$K$6:$M$30,3,TRUE)</f>
        <v xml:space="preserve"> </v>
      </c>
      <c r="D83" s="114" t="str">
        <f>IF(VLOOKUP(B83,'#2 Accomodations'!$B$7:$F$31,5,TRUE)=0," ",VLOOKUP(B83,'#2 Accomodations'!$B$7:$F$31,5,TRUE))</f>
        <v xml:space="preserve"> </v>
      </c>
      <c r="E83" s="137" t="str">
        <f>IF(Table2[[#This Row],[Location]]=C82," ", "Yes")</f>
        <v xml:space="preserve"> </v>
      </c>
      <c r="F83" s="188"/>
      <c r="G83" s="188"/>
      <c r="H83" s="188"/>
      <c r="I83" s="188"/>
      <c r="J83" s="61"/>
      <c r="K83" s="61"/>
      <c r="L83" s="61"/>
      <c r="M83" s="61"/>
      <c r="N83" s="61"/>
      <c r="O83" s="61"/>
      <c r="P83" s="61"/>
      <c r="Q83" s="61"/>
      <c r="R83" s="61"/>
      <c r="S83" s="61"/>
      <c r="T83" s="61"/>
      <c r="U83" s="61"/>
      <c r="V83" s="61"/>
      <c r="W83" s="61"/>
    </row>
    <row r="84" spans="1:23" x14ac:dyDescent="0.35">
      <c r="A84" s="61"/>
      <c r="B84" s="136">
        <f t="shared" si="1"/>
        <v>45146</v>
      </c>
      <c r="C84" s="137" t="str">
        <f>VLOOKUP(B84,'#1 Trip Dreaming'!$K$6:$M$30,3,TRUE)</f>
        <v xml:space="preserve"> </v>
      </c>
      <c r="D84" s="114" t="str">
        <f>IF(VLOOKUP(B84,'#2 Accomodations'!$B$7:$F$31,5,TRUE)=0," ",VLOOKUP(B84,'#2 Accomodations'!$B$7:$F$31,5,TRUE))</f>
        <v xml:space="preserve"> </v>
      </c>
      <c r="E84" s="137" t="str">
        <f>IF(Table2[[#This Row],[Location]]=C83," ", "Yes")</f>
        <v xml:space="preserve"> </v>
      </c>
      <c r="F84" s="188"/>
      <c r="G84" s="188"/>
      <c r="H84" s="188"/>
      <c r="I84" s="188"/>
      <c r="J84" s="61"/>
      <c r="K84" s="61"/>
      <c r="L84" s="61"/>
      <c r="M84" s="61"/>
      <c r="N84" s="61"/>
      <c r="O84" s="61"/>
      <c r="P84" s="61"/>
      <c r="Q84" s="61"/>
      <c r="R84" s="61"/>
      <c r="S84" s="61"/>
      <c r="T84" s="61"/>
      <c r="U84" s="61"/>
      <c r="V84" s="61"/>
      <c r="W84" s="61"/>
    </row>
    <row r="85" spans="1:23" x14ac:dyDescent="0.35">
      <c r="A85" s="61"/>
      <c r="B85" s="136">
        <f t="shared" si="1"/>
        <v>45147</v>
      </c>
      <c r="C85" s="137" t="str">
        <f>VLOOKUP(B85,'#1 Trip Dreaming'!$K$6:$M$30,3,TRUE)</f>
        <v xml:space="preserve"> </v>
      </c>
      <c r="D85" s="114" t="str">
        <f>IF(VLOOKUP(B85,'#2 Accomodations'!$B$7:$F$31,5,TRUE)=0," ",VLOOKUP(B85,'#2 Accomodations'!$B$7:$F$31,5,TRUE))</f>
        <v xml:space="preserve"> </v>
      </c>
      <c r="E85" s="137" t="str">
        <f>IF(Table2[[#This Row],[Location]]=C84," ", "Yes")</f>
        <v xml:space="preserve"> </v>
      </c>
      <c r="F85" s="188"/>
      <c r="G85" s="188"/>
      <c r="H85" s="188"/>
      <c r="I85" s="188"/>
      <c r="J85" s="61"/>
      <c r="K85" s="61"/>
      <c r="L85" s="61"/>
      <c r="M85" s="61"/>
      <c r="N85" s="61"/>
      <c r="O85" s="61"/>
      <c r="P85" s="61"/>
      <c r="Q85" s="61"/>
      <c r="R85" s="61"/>
      <c r="S85" s="61"/>
      <c r="T85" s="61"/>
      <c r="U85" s="61"/>
      <c r="V85" s="61"/>
      <c r="W85" s="61"/>
    </row>
    <row r="86" spans="1:23" x14ac:dyDescent="0.35">
      <c r="A86" s="61"/>
      <c r="B86" s="136">
        <f t="shared" si="1"/>
        <v>45148</v>
      </c>
      <c r="C86" s="137" t="str">
        <f>VLOOKUP(B86,'#1 Trip Dreaming'!$K$6:$M$30,3,TRUE)</f>
        <v xml:space="preserve"> </v>
      </c>
      <c r="D86" s="114" t="str">
        <f>IF(VLOOKUP(B86,'#2 Accomodations'!$B$7:$F$31,5,TRUE)=0," ",VLOOKUP(B86,'#2 Accomodations'!$B$7:$F$31,5,TRUE))</f>
        <v xml:space="preserve"> </v>
      </c>
      <c r="E86" s="137" t="str">
        <f>IF(Table2[[#This Row],[Location]]=C85," ", "Yes")</f>
        <v xml:space="preserve"> </v>
      </c>
      <c r="F86" s="188"/>
      <c r="G86" s="188"/>
      <c r="H86" s="188"/>
      <c r="I86" s="188"/>
      <c r="J86" s="61"/>
      <c r="K86" s="61"/>
      <c r="L86" s="61"/>
      <c r="M86" s="61"/>
      <c r="N86" s="61"/>
      <c r="O86" s="61"/>
      <c r="P86" s="61"/>
      <c r="Q86" s="61"/>
      <c r="R86" s="61"/>
      <c r="S86" s="61"/>
      <c r="T86" s="61"/>
      <c r="U86" s="61"/>
      <c r="V86" s="61"/>
      <c r="W86" s="61"/>
    </row>
    <row r="87" spans="1:23" x14ac:dyDescent="0.35">
      <c r="A87" s="61"/>
      <c r="B87" s="136">
        <f t="shared" si="1"/>
        <v>45149</v>
      </c>
      <c r="C87" s="137" t="str">
        <f>VLOOKUP(B87,'#1 Trip Dreaming'!$K$6:$M$30,3,TRUE)</f>
        <v xml:space="preserve"> </v>
      </c>
      <c r="D87" s="114" t="str">
        <f>IF(VLOOKUP(B87,'#2 Accomodations'!$B$7:$F$31,5,TRUE)=0," ",VLOOKUP(B87,'#2 Accomodations'!$B$7:$F$31,5,TRUE))</f>
        <v xml:space="preserve"> </v>
      </c>
      <c r="E87" s="137" t="str">
        <f>IF(Table2[[#This Row],[Location]]=C86," ", "Yes")</f>
        <v xml:space="preserve"> </v>
      </c>
      <c r="F87" s="188"/>
      <c r="G87" s="188"/>
      <c r="H87" s="188"/>
      <c r="I87" s="188"/>
      <c r="J87" s="61"/>
      <c r="K87" s="61"/>
      <c r="L87" s="61"/>
      <c r="M87" s="61"/>
      <c r="N87" s="61"/>
      <c r="O87" s="61"/>
      <c r="P87" s="61"/>
      <c r="Q87" s="61"/>
      <c r="R87" s="61"/>
      <c r="S87" s="61"/>
      <c r="T87" s="61"/>
      <c r="U87" s="61"/>
      <c r="V87" s="61"/>
      <c r="W87" s="61"/>
    </row>
    <row r="88" spans="1:23" x14ac:dyDescent="0.35">
      <c r="A88" s="61"/>
      <c r="B88" s="136">
        <f t="shared" si="1"/>
        <v>45150</v>
      </c>
      <c r="C88" s="137" t="str">
        <f>VLOOKUP(B88,'#1 Trip Dreaming'!$K$6:$M$30,3,TRUE)</f>
        <v xml:space="preserve"> </v>
      </c>
      <c r="D88" s="114" t="str">
        <f>IF(VLOOKUP(B88,'#2 Accomodations'!$B$7:$F$31,5,TRUE)=0," ",VLOOKUP(B88,'#2 Accomodations'!$B$7:$F$31,5,TRUE))</f>
        <v xml:space="preserve"> </v>
      </c>
      <c r="E88" s="137" t="str">
        <f>IF(Table2[[#This Row],[Location]]=C87," ", "Yes")</f>
        <v xml:space="preserve"> </v>
      </c>
      <c r="F88" s="188"/>
      <c r="G88" s="188"/>
      <c r="H88" s="188"/>
      <c r="I88" s="188"/>
      <c r="J88" s="61"/>
      <c r="K88" s="61"/>
      <c r="L88" s="61"/>
      <c r="M88" s="61"/>
      <c r="N88" s="61"/>
      <c r="O88" s="61"/>
      <c r="P88" s="61"/>
      <c r="Q88" s="61"/>
      <c r="R88" s="61"/>
      <c r="S88" s="61"/>
      <c r="T88" s="61"/>
      <c r="U88" s="61"/>
      <c r="V88" s="61"/>
      <c r="W88" s="61"/>
    </row>
    <row r="89" spans="1:23" x14ac:dyDescent="0.35">
      <c r="A89" s="61"/>
      <c r="B89" s="136">
        <f t="shared" si="1"/>
        <v>45151</v>
      </c>
      <c r="C89" s="137" t="str">
        <f>VLOOKUP(B89,'#1 Trip Dreaming'!$K$6:$M$30,3,TRUE)</f>
        <v xml:space="preserve"> </v>
      </c>
      <c r="D89" s="114" t="str">
        <f>IF(VLOOKUP(B89,'#2 Accomodations'!$B$7:$F$31,5,TRUE)=0," ",VLOOKUP(B89,'#2 Accomodations'!$B$7:$F$31,5,TRUE))</f>
        <v xml:space="preserve"> </v>
      </c>
      <c r="E89" s="137" t="str">
        <f>IF(Table2[[#This Row],[Location]]=C88," ", "Yes")</f>
        <v xml:space="preserve"> </v>
      </c>
      <c r="F89" s="188"/>
      <c r="G89" s="188"/>
      <c r="H89" s="188"/>
      <c r="I89" s="188"/>
      <c r="J89" s="61"/>
      <c r="K89" s="61"/>
      <c r="L89" s="61"/>
      <c r="M89" s="61"/>
      <c r="N89" s="61"/>
      <c r="O89" s="61"/>
      <c r="P89" s="61"/>
      <c r="Q89" s="61"/>
      <c r="R89" s="61"/>
      <c r="S89" s="61"/>
      <c r="T89" s="61"/>
      <c r="U89" s="61"/>
      <c r="V89" s="61"/>
      <c r="W89" s="61"/>
    </row>
    <row r="90" spans="1:23" x14ac:dyDescent="0.35">
      <c r="A90" s="61"/>
      <c r="B90" s="136">
        <f t="shared" si="1"/>
        <v>45152</v>
      </c>
      <c r="C90" s="137" t="str">
        <f>VLOOKUP(B90,'#1 Trip Dreaming'!$K$6:$M$30,3,TRUE)</f>
        <v xml:space="preserve"> </v>
      </c>
      <c r="D90" s="114" t="str">
        <f>IF(VLOOKUP(B90,'#2 Accomodations'!$B$7:$F$31,5,TRUE)=0," ",VLOOKUP(B90,'#2 Accomodations'!$B$7:$F$31,5,TRUE))</f>
        <v xml:space="preserve"> </v>
      </c>
      <c r="E90" s="137" t="str">
        <f>IF(Table2[[#This Row],[Location]]=C89," ", "Yes")</f>
        <v xml:space="preserve"> </v>
      </c>
      <c r="F90" s="188"/>
      <c r="G90" s="188"/>
      <c r="H90" s="188"/>
      <c r="I90" s="188"/>
      <c r="J90" s="61"/>
      <c r="K90" s="61"/>
      <c r="L90" s="61"/>
      <c r="M90" s="61"/>
      <c r="N90" s="61"/>
      <c r="O90" s="61"/>
      <c r="P90" s="61"/>
      <c r="Q90" s="61"/>
      <c r="R90" s="61"/>
      <c r="S90" s="61"/>
      <c r="T90" s="61"/>
      <c r="U90" s="61"/>
      <c r="V90" s="61"/>
      <c r="W90" s="61"/>
    </row>
    <row r="91" spans="1:23" x14ac:dyDescent="0.35">
      <c r="A91" s="61"/>
      <c r="B91" s="136">
        <f t="shared" si="1"/>
        <v>45153</v>
      </c>
      <c r="C91" s="137" t="str">
        <f>VLOOKUP(B91,'#1 Trip Dreaming'!$K$6:$M$30,3,TRUE)</f>
        <v xml:space="preserve"> </v>
      </c>
      <c r="D91" s="114" t="str">
        <f>IF(VLOOKUP(B91,'#2 Accomodations'!$B$7:$F$31,5,TRUE)=0," ",VLOOKUP(B91,'#2 Accomodations'!$B$7:$F$31,5,TRUE))</f>
        <v xml:space="preserve"> </v>
      </c>
      <c r="E91" s="137" t="str">
        <f>IF(Table2[[#This Row],[Location]]=C90," ", "Yes")</f>
        <v xml:space="preserve"> </v>
      </c>
      <c r="F91" s="188"/>
      <c r="G91" s="188"/>
      <c r="H91" s="188"/>
      <c r="I91" s="188"/>
      <c r="J91" s="61"/>
      <c r="K91" s="61"/>
      <c r="L91" s="61"/>
      <c r="M91" s="61"/>
      <c r="N91" s="61"/>
      <c r="O91" s="61"/>
      <c r="P91" s="61"/>
      <c r="Q91" s="61"/>
      <c r="R91" s="61"/>
      <c r="S91" s="61"/>
      <c r="T91" s="61"/>
      <c r="U91" s="61"/>
      <c r="V91" s="61"/>
      <c r="W91" s="61"/>
    </row>
    <row r="92" spans="1:23" x14ac:dyDescent="0.35">
      <c r="A92" s="61"/>
      <c r="B92" s="136">
        <f t="shared" si="1"/>
        <v>45154</v>
      </c>
      <c r="C92" s="137" t="str">
        <f>VLOOKUP(B92,'#1 Trip Dreaming'!$K$6:$M$30,3,TRUE)</f>
        <v xml:space="preserve"> </v>
      </c>
      <c r="D92" s="114" t="str">
        <f>IF(VLOOKUP(B92,'#2 Accomodations'!$B$7:$F$31,5,TRUE)=0," ",VLOOKUP(B92,'#2 Accomodations'!$B$7:$F$31,5,TRUE))</f>
        <v xml:space="preserve"> </v>
      </c>
      <c r="E92" s="137" t="str">
        <f>IF(Table2[[#This Row],[Location]]=C91," ", "Yes")</f>
        <v xml:space="preserve"> </v>
      </c>
      <c r="F92" s="188"/>
      <c r="G92" s="188"/>
      <c r="H92" s="188"/>
      <c r="I92" s="188"/>
      <c r="J92" s="61"/>
      <c r="K92" s="61"/>
      <c r="L92" s="61"/>
      <c r="M92" s="61"/>
      <c r="N92" s="61"/>
      <c r="O92" s="61"/>
      <c r="P92" s="61"/>
      <c r="Q92" s="61"/>
      <c r="R92" s="61"/>
      <c r="S92" s="61"/>
      <c r="T92" s="61"/>
      <c r="U92" s="61"/>
      <c r="V92" s="61"/>
      <c r="W92" s="61"/>
    </row>
    <row r="93" spans="1:23" x14ac:dyDescent="0.35">
      <c r="A93" s="61"/>
      <c r="B93" s="136">
        <f t="shared" si="1"/>
        <v>45155</v>
      </c>
      <c r="C93" s="137" t="str">
        <f>VLOOKUP(B93,'#1 Trip Dreaming'!$K$6:$M$30,3,TRUE)</f>
        <v xml:space="preserve"> </v>
      </c>
      <c r="D93" s="114" t="str">
        <f>IF(VLOOKUP(B93,'#2 Accomodations'!$B$7:$F$31,5,TRUE)=0," ",VLOOKUP(B93,'#2 Accomodations'!$B$7:$F$31,5,TRUE))</f>
        <v xml:space="preserve"> </v>
      </c>
      <c r="E93" s="137" t="str">
        <f>IF(Table2[[#This Row],[Location]]=C92," ", "Yes")</f>
        <v xml:space="preserve"> </v>
      </c>
      <c r="F93" s="188"/>
      <c r="G93" s="188"/>
      <c r="H93" s="188"/>
      <c r="I93" s="188"/>
      <c r="J93" s="61"/>
      <c r="K93" s="61"/>
      <c r="L93" s="61"/>
      <c r="M93" s="61"/>
      <c r="N93" s="61"/>
      <c r="O93" s="61"/>
      <c r="P93" s="61"/>
      <c r="Q93" s="61"/>
      <c r="R93" s="61"/>
      <c r="S93" s="61"/>
      <c r="T93" s="61"/>
      <c r="U93" s="61"/>
      <c r="V93" s="61"/>
      <c r="W93" s="61"/>
    </row>
    <row r="94" spans="1:23" x14ac:dyDescent="0.35">
      <c r="A94" s="61"/>
      <c r="B94" s="136">
        <f t="shared" si="1"/>
        <v>45156</v>
      </c>
      <c r="C94" s="137" t="str">
        <f>VLOOKUP(B94,'#1 Trip Dreaming'!$K$6:$M$30,3,TRUE)</f>
        <v xml:space="preserve"> </v>
      </c>
      <c r="D94" s="114" t="str">
        <f>IF(VLOOKUP(B94,'#2 Accomodations'!$B$7:$F$31,5,TRUE)=0," ",VLOOKUP(B94,'#2 Accomodations'!$B$7:$F$31,5,TRUE))</f>
        <v xml:space="preserve"> </v>
      </c>
      <c r="E94" s="137" t="str">
        <f>IF(Table2[[#This Row],[Location]]=C93," ", "Yes")</f>
        <v xml:space="preserve"> </v>
      </c>
      <c r="F94" s="188"/>
      <c r="G94" s="188"/>
      <c r="H94" s="188"/>
      <c r="I94" s="188"/>
      <c r="J94" s="61"/>
      <c r="K94" s="61"/>
      <c r="L94" s="61"/>
      <c r="M94" s="61"/>
      <c r="N94" s="61"/>
      <c r="O94" s="61"/>
      <c r="P94" s="61"/>
      <c r="Q94" s="61"/>
      <c r="R94" s="61"/>
      <c r="S94" s="61"/>
      <c r="T94" s="61"/>
      <c r="U94" s="61"/>
      <c r="V94" s="61"/>
      <c r="W94" s="61"/>
    </row>
    <row r="95" spans="1:23" x14ac:dyDescent="0.35">
      <c r="A95" s="61"/>
      <c r="B95" s="136">
        <f t="shared" si="1"/>
        <v>45157</v>
      </c>
      <c r="C95" s="137" t="str">
        <f>VLOOKUP(B95,'#1 Trip Dreaming'!$K$6:$M$30,3,TRUE)</f>
        <v xml:space="preserve"> </v>
      </c>
      <c r="D95" s="114" t="str">
        <f>IF(VLOOKUP(B95,'#2 Accomodations'!$B$7:$F$31,5,TRUE)=0," ",VLOOKUP(B95,'#2 Accomodations'!$B$7:$F$31,5,TRUE))</f>
        <v xml:space="preserve"> </v>
      </c>
      <c r="E95" s="137" t="str">
        <f>IF(Table2[[#This Row],[Location]]=C94," ", "Yes")</f>
        <v xml:space="preserve"> </v>
      </c>
      <c r="F95" s="188"/>
      <c r="G95" s="188"/>
      <c r="H95" s="188"/>
      <c r="I95" s="188"/>
      <c r="J95" s="61"/>
      <c r="K95" s="61"/>
      <c r="L95" s="61"/>
      <c r="M95" s="61"/>
      <c r="N95" s="61"/>
      <c r="O95" s="61"/>
      <c r="P95" s="61"/>
      <c r="Q95" s="61"/>
      <c r="R95" s="61"/>
      <c r="S95" s="61"/>
      <c r="T95" s="61"/>
      <c r="U95" s="61"/>
      <c r="V95" s="61"/>
      <c r="W95" s="61"/>
    </row>
    <row r="96" spans="1:23" x14ac:dyDescent="0.35">
      <c r="A96" s="61"/>
      <c r="B96" s="136">
        <f t="shared" si="1"/>
        <v>45158</v>
      </c>
      <c r="C96" s="137" t="str">
        <f>VLOOKUP(B96,'#1 Trip Dreaming'!$K$6:$M$30,3,TRUE)</f>
        <v xml:space="preserve"> </v>
      </c>
      <c r="D96" s="114" t="str">
        <f>IF(VLOOKUP(B96,'#2 Accomodations'!$B$7:$F$31,5,TRUE)=0," ",VLOOKUP(B96,'#2 Accomodations'!$B$7:$F$31,5,TRUE))</f>
        <v xml:space="preserve"> </v>
      </c>
      <c r="E96" s="137" t="str">
        <f>IF(Table2[[#This Row],[Location]]=C95," ", "Yes")</f>
        <v xml:space="preserve"> </v>
      </c>
      <c r="F96" s="188"/>
      <c r="G96" s="188"/>
      <c r="H96" s="188"/>
      <c r="I96" s="188"/>
      <c r="J96" s="61"/>
      <c r="K96" s="61"/>
      <c r="L96" s="61"/>
      <c r="M96" s="61"/>
      <c r="N96" s="61"/>
      <c r="O96" s="61"/>
      <c r="P96" s="61"/>
      <c r="Q96" s="61"/>
      <c r="R96" s="61"/>
      <c r="S96" s="61"/>
      <c r="T96" s="61"/>
      <c r="U96" s="61"/>
      <c r="V96" s="61"/>
      <c r="W96" s="61"/>
    </row>
    <row r="97" spans="1:23" x14ac:dyDescent="0.35">
      <c r="A97" s="61"/>
      <c r="B97" s="136">
        <f t="shared" si="1"/>
        <v>45159</v>
      </c>
      <c r="C97" s="137" t="str">
        <f>VLOOKUP(B97,'#1 Trip Dreaming'!$K$6:$M$30,3,TRUE)</f>
        <v xml:space="preserve"> </v>
      </c>
      <c r="D97" s="114" t="str">
        <f>IF(VLOOKUP(B97,'#2 Accomodations'!$B$7:$F$31,5,TRUE)=0," ",VLOOKUP(B97,'#2 Accomodations'!$B$7:$F$31,5,TRUE))</f>
        <v xml:space="preserve"> </v>
      </c>
      <c r="E97" s="137" t="str">
        <f>IF(Table2[[#This Row],[Location]]=C96," ", "Yes")</f>
        <v xml:space="preserve"> </v>
      </c>
      <c r="F97" s="188"/>
      <c r="G97" s="188"/>
      <c r="H97" s="188"/>
      <c r="I97" s="188"/>
      <c r="J97" s="61"/>
      <c r="K97" s="61"/>
      <c r="L97" s="61"/>
      <c r="M97" s="61"/>
      <c r="N97" s="61"/>
      <c r="O97" s="61"/>
      <c r="P97" s="61"/>
      <c r="Q97" s="61"/>
      <c r="R97" s="61"/>
      <c r="S97" s="61"/>
      <c r="T97" s="61"/>
      <c r="U97" s="61"/>
      <c r="V97" s="61"/>
      <c r="W97" s="61"/>
    </row>
    <row r="98" spans="1:23" x14ac:dyDescent="0.35">
      <c r="A98" s="61"/>
      <c r="B98" s="136">
        <f t="shared" si="1"/>
        <v>45160</v>
      </c>
      <c r="C98" s="137" t="str">
        <f>VLOOKUP(B98,'#1 Trip Dreaming'!$K$6:$M$30,3,TRUE)</f>
        <v xml:space="preserve"> </v>
      </c>
      <c r="D98" s="114" t="str">
        <f>IF(VLOOKUP(B98,'#2 Accomodations'!$B$7:$F$31,5,TRUE)=0," ",VLOOKUP(B98,'#2 Accomodations'!$B$7:$F$31,5,TRUE))</f>
        <v xml:space="preserve"> </v>
      </c>
      <c r="E98" s="137" t="str">
        <f>IF(Table2[[#This Row],[Location]]=C97," ", "Yes")</f>
        <v xml:space="preserve"> </v>
      </c>
      <c r="F98" s="188"/>
      <c r="G98" s="188"/>
      <c r="H98" s="188"/>
      <c r="I98" s="188"/>
      <c r="J98" s="61"/>
      <c r="K98" s="61"/>
      <c r="L98" s="61"/>
      <c r="M98" s="61"/>
      <c r="N98" s="61"/>
      <c r="O98" s="61"/>
      <c r="P98" s="61"/>
      <c r="Q98" s="61"/>
      <c r="R98" s="61"/>
      <c r="S98" s="61"/>
      <c r="T98" s="61"/>
      <c r="U98" s="61"/>
      <c r="V98" s="61"/>
      <c r="W98" s="61"/>
    </row>
    <row r="99" spans="1:23" x14ac:dyDescent="0.35">
      <c r="A99" s="61"/>
      <c r="B99" s="136">
        <f t="shared" si="1"/>
        <v>45161</v>
      </c>
      <c r="C99" s="137" t="str">
        <f>VLOOKUP(B99,'#1 Trip Dreaming'!$K$6:$M$30,3,TRUE)</f>
        <v xml:space="preserve"> </v>
      </c>
      <c r="D99" s="114" t="str">
        <f>IF(VLOOKUP(B99,'#2 Accomodations'!$B$7:$F$31,5,TRUE)=0," ",VLOOKUP(B99,'#2 Accomodations'!$B$7:$F$31,5,TRUE))</f>
        <v xml:space="preserve"> </v>
      </c>
      <c r="E99" s="137" t="str">
        <f>IF(Table2[[#This Row],[Location]]=C98," ", "Yes")</f>
        <v xml:space="preserve"> </v>
      </c>
      <c r="F99" s="188"/>
      <c r="G99" s="188"/>
      <c r="H99" s="188"/>
      <c r="I99" s="188"/>
      <c r="J99" s="61"/>
      <c r="K99" s="61"/>
      <c r="L99" s="61"/>
      <c r="M99" s="61"/>
      <c r="N99" s="61"/>
      <c r="O99" s="61"/>
      <c r="P99" s="61"/>
      <c r="Q99" s="61"/>
      <c r="R99" s="61"/>
      <c r="S99" s="61"/>
      <c r="T99" s="61"/>
      <c r="U99" s="61"/>
      <c r="V99" s="61"/>
      <c r="W99" s="61"/>
    </row>
    <row r="100" spans="1:23" x14ac:dyDescent="0.35">
      <c r="A100" s="61"/>
      <c r="B100" s="136">
        <f t="shared" si="1"/>
        <v>45162</v>
      </c>
      <c r="C100" s="137" t="str">
        <f>VLOOKUP(B100,'#1 Trip Dreaming'!$K$6:$M$30,3,TRUE)</f>
        <v xml:space="preserve"> </v>
      </c>
      <c r="D100" s="114" t="str">
        <f>IF(VLOOKUP(B100,'#2 Accomodations'!$B$7:$F$31,5,TRUE)=0," ",VLOOKUP(B100,'#2 Accomodations'!$B$7:$F$31,5,TRUE))</f>
        <v xml:space="preserve"> </v>
      </c>
      <c r="E100" s="137" t="str">
        <f>IF(Table2[[#This Row],[Location]]=C99," ", "Yes")</f>
        <v xml:space="preserve"> </v>
      </c>
      <c r="F100" s="188"/>
      <c r="G100" s="188"/>
      <c r="H100" s="188"/>
      <c r="I100" s="188"/>
      <c r="J100" s="61"/>
      <c r="K100" s="61"/>
      <c r="L100" s="61"/>
      <c r="M100" s="61"/>
      <c r="N100" s="61"/>
      <c r="O100" s="61"/>
      <c r="P100" s="61"/>
      <c r="Q100" s="61"/>
      <c r="R100" s="61"/>
      <c r="S100" s="61"/>
      <c r="T100" s="61"/>
      <c r="U100" s="61"/>
      <c r="V100" s="61"/>
      <c r="W100" s="61"/>
    </row>
    <row r="101" spans="1:23" x14ac:dyDescent="0.35">
      <c r="A101" s="61"/>
      <c r="B101" s="136">
        <f t="shared" si="1"/>
        <v>45163</v>
      </c>
      <c r="C101" s="137" t="str">
        <f>VLOOKUP(B101,'#1 Trip Dreaming'!$K$6:$M$30,3,TRUE)</f>
        <v xml:space="preserve"> </v>
      </c>
      <c r="D101" s="114" t="str">
        <f>IF(VLOOKUP(B101,'#2 Accomodations'!$B$7:$F$31,5,TRUE)=0," ",VLOOKUP(B101,'#2 Accomodations'!$B$7:$F$31,5,TRUE))</f>
        <v xml:space="preserve"> </v>
      </c>
      <c r="E101" s="137" t="str">
        <f>IF(Table2[[#This Row],[Location]]=C100," ", "Yes")</f>
        <v xml:space="preserve"> </v>
      </c>
      <c r="F101" s="188"/>
      <c r="G101" s="188"/>
      <c r="H101" s="188"/>
      <c r="I101" s="188"/>
      <c r="J101" s="61"/>
      <c r="K101" s="61"/>
      <c r="L101" s="61"/>
      <c r="M101" s="61"/>
      <c r="N101" s="61"/>
      <c r="O101" s="61"/>
      <c r="P101" s="61"/>
      <c r="Q101" s="61"/>
      <c r="R101" s="61"/>
      <c r="S101" s="61"/>
      <c r="T101" s="61"/>
      <c r="U101" s="61"/>
      <c r="V101" s="61"/>
      <c r="W101" s="61"/>
    </row>
    <row r="102" spans="1:23" x14ac:dyDescent="0.35">
      <c r="A102" s="61"/>
      <c r="B102" s="136">
        <f t="shared" si="1"/>
        <v>45164</v>
      </c>
      <c r="C102" s="137" t="str">
        <f>VLOOKUP(B102,'#1 Trip Dreaming'!$K$6:$M$30,3,TRUE)</f>
        <v xml:space="preserve"> </v>
      </c>
      <c r="D102" s="114" t="str">
        <f>IF(VLOOKUP(B102,'#2 Accomodations'!$B$7:$F$31,5,TRUE)=0," ",VLOOKUP(B102,'#2 Accomodations'!$B$7:$F$31,5,TRUE))</f>
        <v xml:space="preserve"> </v>
      </c>
      <c r="E102" s="137" t="str">
        <f>IF(Table2[[#This Row],[Location]]=C101," ", "Yes")</f>
        <v xml:space="preserve"> </v>
      </c>
      <c r="F102" s="188"/>
      <c r="G102" s="188"/>
      <c r="H102" s="188"/>
      <c r="I102" s="188"/>
      <c r="J102" s="61"/>
      <c r="K102" s="61"/>
      <c r="L102" s="61"/>
      <c r="M102" s="61"/>
      <c r="N102" s="61"/>
      <c r="O102" s="61"/>
      <c r="P102" s="61"/>
      <c r="Q102" s="61"/>
      <c r="R102" s="61"/>
      <c r="S102" s="61"/>
      <c r="T102" s="61"/>
      <c r="U102" s="61"/>
      <c r="V102" s="61"/>
      <c r="W102" s="61"/>
    </row>
    <row r="103" spans="1:23" x14ac:dyDescent="0.35">
      <c r="A103" s="61"/>
      <c r="B103" s="136">
        <f t="shared" si="1"/>
        <v>45165</v>
      </c>
      <c r="C103" s="137" t="str">
        <f>VLOOKUP(B103,'#1 Trip Dreaming'!$K$6:$M$30,3,TRUE)</f>
        <v xml:space="preserve"> </v>
      </c>
      <c r="D103" s="114" t="str">
        <f>IF(VLOOKUP(B103,'#2 Accomodations'!$B$7:$F$31,5,TRUE)=0," ",VLOOKUP(B103,'#2 Accomodations'!$B$7:$F$31,5,TRUE))</f>
        <v xml:space="preserve"> </v>
      </c>
      <c r="E103" s="137" t="str">
        <f>IF(Table2[[#This Row],[Location]]=C102," ", "Yes")</f>
        <v xml:space="preserve"> </v>
      </c>
      <c r="F103" s="188"/>
      <c r="G103" s="188"/>
      <c r="H103" s="188"/>
      <c r="I103" s="188"/>
      <c r="J103" s="61"/>
      <c r="K103" s="61"/>
      <c r="L103" s="61"/>
      <c r="M103" s="61"/>
      <c r="N103" s="61"/>
      <c r="O103" s="61"/>
      <c r="P103" s="61"/>
      <c r="Q103" s="61"/>
      <c r="R103" s="61"/>
      <c r="S103" s="61"/>
      <c r="T103" s="61"/>
      <c r="U103" s="61"/>
      <c r="V103" s="61"/>
      <c r="W103" s="61"/>
    </row>
    <row r="104" spans="1:23" x14ac:dyDescent="0.35">
      <c r="A104" s="61"/>
      <c r="B104" s="136">
        <f t="shared" si="1"/>
        <v>45166</v>
      </c>
      <c r="C104" s="137" t="str">
        <f>VLOOKUP(B104,'#1 Trip Dreaming'!$K$6:$M$30,3,TRUE)</f>
        <v xml:space="preserve"> </v>
      </c>
      <c r="D104" s="114" t="str">
        <f>IF(VLOOKUP(B104,'#2 Accomodations'!$B$7:$F$31,5,TRUE)=0," ",VLOOKUP(B104,'#2 Accomodations'!$B$7:$F$31,5,TRUE))</f>
        <v xml:space="preserve"> </v>
      </c>
      <c r="E104" s="137" t="str">
        <f>IF(Table2[[#This Row],[Location]]=C103," ", "Yes")</f>
        <v xml:space="preserve"> </v>
      </c>
      <c r="F104" s="188"/>
      <c r="G104" s="188"/>
      <c r="H104" s="188"/>
      <c r="I104" s="188"/>
      <c r="J104" s="61"/>
      <c r="K104" s="61"/>
      <c r="L104" s="61"/>
      <c r="M104" s="61"/>
      <c r="N104" s="61"/>
      <c r="O104" s="61"/>
      <c r="P104" s="61"/>
      <c r="Q104" s="61"/>
      <c r="R104" s="61"/>
      <c r="S104" s="61"/>
      <c r="T104" s="61"/>
      <c r="U104" s="61"/>
      <c r="V104" s="61"/>
      <c r="W104" s="61"/>
    </row>
    <row r="105" spans="1:23" x14ac:dyDescent="0.35">
      <c r="A105" s="61"/>
      <c r="B105" s="136">
        <f t="shared" si="1"/>
        <v>45167</v>
      </c>
      <c r="C105" s="137" t="str">
        <f>VLOOKUP(B105,'#1 Trip Dreaming'!$K$6:$M$30,3,TRUE)</f>
        <v xml:space="preserve"> </v>
      </c>
      <c r="D105" s="114" t="str">
        <f>IF(VLOOKUP(B105,'#2 Accomodations'!$B$7:$F$31,5,TRUE)=0," ",VLOOKUP(B105,'#2 Accomodations'!$B$7:$F$31,5,TRUE))</f>
        <v xml:space="preserve"> </v>
      </c>
      <c r="E105" s="137" t="str">
        <f>IF(Table2[[#This Row],[Location]]=C104," ", "Yes")</f>
        <v xml:space="preserve"> </v>
      </c>
      <c r="F105" s="188"/>
      <c r="G105" s="188"/>
      <c r="H105" s="188"/>
      <c r="I105" s="188"/>
      <c r="J105" s="61"/>
      <c r="K105" s="61"/>
      <c r="L105" s="61"/>
      <c r="M105" s="61"/>
      <c r="N105" s="61"/>
      <c r="O105" s="61"/>
      <c r="P105" s="61"/>
      <c r="Q105" s="61"/>
      <c r="R105" s="61"/>
      <c r="S105" s="61"/>
      <c r="T105" s="61"/>
      <c r="U105" s="61"/>
      <c r="V105" s="61"/>
      <c r="W105" s="61"/>
    </row>
    <row r="106" spans="1:23" x14ac:dyDescent="0.35">
      <c r="A106" s="61"/>
      <c r="B106" s="136">
        <f t="shared" si="1"/>
        <v>45168</v>
      </c>
      <c r="C106" s="137" t="str">
        <f>VLOOKUP(B106,'#1 Trip Dreaming'!$K$6:$M$30,3,TRUE)</f>
        <v xml:space="preserve"> </v>
      </c>
      <c r="D106" s="114" t="str">
        <f>IF(VLOOKUP(B106,'#2 Accomodations'!$B$7:$F$31,5,TRUE)=0," ",VLOOKUP(B106,'#2 Accomodations'!$B$7:$F$31,5,TRUE))</f>
        <v xml:space="preserve"> </v>
      </c>
      <c r="E106" s="137" t="str">
        <f>IF(Table2[[#This Row],[Location]]=C105," ", "Yes")</f>
        <v xml:space="preserve"> </v>
      </c>
      <c r="F106" s="188"/>
      <c r="G106" s="188"/>
      <c r="H106" s="188"/>
      <c r="I106" s="188"/>
      <c r="J106" s="61"/>
      <c r="K106" s="61"/>
      <c r="L106" s="61"/>
      <c r="M106" s="61"/>
      <c r="N106" s="61"/>
      <c r="O106" s="61"/>
      <c r="P106" s="61"/>
      <c r="Q106" s="61"/>
      <c r="R106" s="61"/>
      <c r="S106" s="61"/>
      <c r="T106" s="61"/>
      <c r="U106" s="61"/>
      <c r="V106" s="61"/>
      <c r="W106" s="61"/>
    </row>
    <row r="107" spans="1:23" x14ac:dyDescent="0.35">
      <c r="A107" s="61"/>
      <c r="B107" s="136">
        <f t="shared" si="1"/>
        <v>45169</v>
      </c>
      <c r="C107" s="137" t="str">
        <f>VLOOKUP(B107,'#1 Trip Dreaming'!$K$6:$M$30,3,TRUE)</f>
        <v xml:space="preserve"> </v>
      </c>
      <c r="D107" s="114" t="str">
        <f>IF(VLOOKUP(B107,'#2 Accomodations'!$B$7:$F$31,5,TRUE)=0," ",VLOOKUP(B107,'#2 Accomodations'!$B$7:$F$31,5,TRUE))</f>
        <v xml:space="preserve"> </v>
      </c>
      <c r="E107" s="137" t="str">
        <f>IF(Table2[[#This Row],[Location]]=C106," ", "Yes")</f>
        <v xml:space="preserve"> </v>
      </c>
      <c r="F107" s="188"/>
      <c r="G107" s="188"/>
      <c r="H107" s="188"/>
      <c r="I107" s="188"/>
      <c r="J107" s="61"/>
      <c r="K107" s="61"/>
      <c r="L107" s="61"/>
      <c r="M107" s="61"/>
      <c r="N107" s="61"/>
      <c r="O107" s="61"/>
      <c r="P107" s="61"/>
      <c r="Q107" s="61"/>
      <c r="R107" s="61"/>
      <c r="S107" s="61"/>
      <c r="T107" s="61"/>
      <c r="U107" s="61"/>
      <c r="V107" s="61"/>
      <c r="W107" s="61"/>
    </row>
    <row r="108" spans="1:23" x14ac:dyDescent="0.35">
      <c r="A108" s="61"/>
      <c r="B108" s="136">
        <f t="shared" si="1"/>
        <v>45170</v>
      </c>
      <c r="C108" s="137" t="str">
        <f>VLOOKUP(B108,'#1 Trip Dreaming'!$K$6:$M$30,3,TRUE)</f>
        <v xml:space="preserve"> </v>
      </c>
      <c r="D108" s="114" t="str">
        <f>IF(VLOOKUP(B108,'#2 Accomodations'!$B$7:$F$31,5,TRUE)=0," ",VLOOKUP(B108,'#2 Accomodations'!$B$7:$F$31,5,TRUE))</f>
        <v xml:space="preserve"> </v>
      </c>
      <c r="E108" s="137" t="str">
        <f>IF(Table2[[#This Row],[Location]]=C107," ", "Yes")</f>
        <v xml:space="preserve"> </v>
      </c>
      <c r="F108" s="188"/>
      <c r="G108" s="188"/>
      <c r="H108" s="190"/>
      <c r="I108" s="190"/>
      <c r="J108" s="61"/>
      <c r="K108" s="61"/>
      <c r="L108" s="61"/>
      <c r="M108" s="61"/>
      <c r="N108" s="61"/>
      <c r="O108" s="61"/>
      <c r="P108" s="61"/>
      <c r="Q108" s="61"/>
      <c r="R108" s="61"/>
      <c r="S108" s="61"/>
      <c r="T108" s="61"/>
      <c r="U108" s="61"/>
      <c r="V108" s="61"/>
      <c r="W108" s="61"/>
    </row>
    <row r="109" spans="1:23" x14ac:dyDescent="0.35">
      <c r="A109" s="61"/>
      <c r="B109" s="61"/>
      <c r="C109" s="61"/>
      <c r="D109" s="61"/>
      <c r="E109" s="61"/>
      <c r="F109" s="61"/>
      <c r="G109" s="61"/>
      <c r="H109" s="61"/>
      <c r="I109" s="61"/>
      <c r="J109" s="61"/>
      <c r="K109" s="61"/>
      <c r="L109" s="61"/>
      <c r="M109" s="61"/>
      <c r="N109" s="61"/>
      <c r="O109" s="61"/>
      <c r="P109" s="61"/>
      <c r="Q109" s="61"/>
      <c r="R109" s="61"/>
      <c r="S109" s="61"/>
      <c r="T109" s="61"/>
      <c r="U109" s="61"/>
      <c r="V109" s="61"/>
      <c r="W109" s="61"/>
    </row>
    <row r="110" spans="1:23" x14ac:dyDescent="0.35">
      <c r="A110" s="61"/>
      <c r="B110" s="61"/>
      <c r="C110" s="61"/>
      <c r="D110" s="61"/>
      <c r="E110" s="61"/>
      <c r="F110" s="61"/>
      <c r="G110" s="61"/>
      <c r="H110" s="61"/>
      <c r="I110" s="61"/>
      <c r="J110" s="61"/>
      <c r="K110" s="61"/>
      <c r="L110" s="61"/>
      <c r="M110" s="61"/>
      <c r="N110" s="61"/>
      <c r="O110" s="61"/>
      <c r="P110" s="61"/>
      <c r="Q110" s="61"/>
      <c r="R110" s="61"/>
      <c r="S110" s="61"/>
      <c r="T110" s="61"/>
      <c r="U110" s="61"/>
      <c r="V110" s="61"/>
      <c r="W110" s="61"/>
    </row>
    <row r="111" spans="1:23" x14ac:dyDescent="0.35">
      <c r="A111" s="61"/>
      <c r="B111" s="61"/>
      <c r="C111" s="61"/>
      <c r="D111" s="61"/>
      <c r="E111" s="61"/>
      <c r="F111" s="61"/>
      <c r="G111" s="61"/>
      <c r="H111" s="61"/>
      <c r="I111" s="61"/>
      <c r="J111" s="61"/>
      <c r="K111" s="61"/>
      <c r="L111" s="61"/>
      <c r="M111" s="61"/>
      <c r="N111" s="61"/>
      <c r="O111" s="61"/>
      <c r="P111" s="61"/>
      <c r="Q111" s="61"/>
      <c r="R111" s="61"/>
      <c r="S111" s="61"/>
      <c r="T111" s="61"/>
      <c r="U111" s="61"/>
      <c r="V111" s="61"/>
      <c r="W111" s="61"/>
    </row>
  </sheetData>
  <sheetProtection algorithmName="SHA-512" hashValue="2I4ogoOWgP5FpoTTs4w2qcP1oLxeUyAVfM5YCU+MaPlUAdxAgprxgb3DshDzZ0aKTdNeKOjhT+RvHb0OwdROPg==" saltValue="OZ5UafKS49NWBUTxoNMQYw==" spinCount="100000" sheet="1"/>
  <mergeCells count="2">
    <mergeCell ref="B3:J3"/>
    <mergeCell ref="B2:J2"/>
  </mergeCells>
  <phoneticPr fontId="6" type="noConversion"/>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78D8B-7182-4853-817C-998899DB5304}">
  <sheetPr codeName="Sheet31">
    <tabColor theme="5"/>
  </sheetPr>
  <dimension ref="A2:H21"/>
  <sheetViews>
    <sheetView workbookViewId="0">
      <selection activeCell="D7" sqref="D7"/>
    </sheetView>
  </sheetViews>
  <sheetFormatPr defaultRowHeight="14.5" x14ac:dyDescent="0.35"/>
  <cols>
    <col min="2" max="8" width="26.1796875" customWidth="1"/>
  </cols>
  <sheetData>
    <row r="2" spans="1:8" ht="15" thickBot="1" x14ac:dyDescent="0.4">
      <c r="B2">
        <f>MONTH(DreamStartDate)</f>
        <v>5</v>
      </c>
    </row>
    <row r="3" spans="1:8" ht="20" thickBot="1" x14ac:dyDescent="0.4">
      <c r="B3" s="63" t="s">
        <v>24</v>
      </c>
      <c r="C3" s="64" t="s">
        <v>23</v>
      </c>
      <c r="D3" s="64" t="s">
        <v>25</v>
      </c>
      <c r="E3" s="64" t="s">
        <v>26</v>
      </c>
      <c r="F3" s="64" t="s">
        <v>27</v>
      </c>
      <c r="G3" s="64" t="s">
        <v>28</v>
      </c>
      <c r="H3" s="65" t="s">
        <v>29</v>
      </c>
    </row>
    <row r="4" spans="1:8" x14ac:dyDescent="0.35">
      <c r="A4" s="267" t="s">
        <v>30</v>
      </c>
      <c r="B4" s="66" t="str" cm="1">
        <f t="array" ref="B4:H9">IF(MONTH(DATE(YEAR(DreamStartDate),MONTH(DreamStartDate),1))-
MONTH(DATE(YEAR(DreamStartDate),MONTH(DreamStartDate),1)-
(WEEKDAY(DATE(YEAR(DreamStartDate),MONTH(DreamStartDate),1))-1)+
{0;1;2;3;4;5}*7+{1,2,3,4,5,6,7}-1),"",DATE(YEAR(DreamStartDate),
MONTH(DreamStartDate),1)-(WEEKDAY(DATE(YEAR(DreamStartDate),
MONTH(DreamStartDate),1))-1)+{0;1;2;3;4;5}*7+{1,2,3,4,5,6,7}-1)</f>
        <v/>
      </c>
      <c r="C4" s="67">
        <v>45047</v>
      </c>
      <c r="D4" s="67">
        <v>45048</v>
      </c>
      <c r="E4" s="67">
        <v>45049</v>
      </c>
      <c r="F4" s="67">
        <v>45050</v>
      </c>
      <c r="G4" s="67">
        <v>45051</v>
      </c>
      <c r="H4" s="68">
        <v>45052</v>
      </c>
    </row>
    <row r="5" spans="1:8" x14ac:dyDescent="0.35">
      <c r="A5" s="268"/>
      <c r="B5" s="52">
        <v>45053</v>
      </c>
      <c r="C5" s="53">
        <v>45054</v>
      </c>
      <c r="D5" s="53">
        <v>45055</v>
      </c>
      <c r="E5" s="53">
        <v>45056</v>
      </c>
      <c r="F5" s="53">
        <v>45057</v>
      </c>
      <c r="G5" s="53">
        <v>45058</v>
      </c>
      <c r="H5" s="54">
        <v>45059</v>
      </c>
    </row>
    <row r="6" spans="1:8" x14ac:dyDescent="0.35">
      <c r="A6" s="268"/>
      <c r="B6" s="55">
        <v>45060</v>
      </c>
      <c r="C6" s="56">
        <v>45061</v>
      </c>
      <c r="D6" s="56">
        <v>45062</v>
      </c>
      <c r="E6" s="56">
        <v>45063</v>
      </c>
      <c r="F6" s="56">
        <v>45064</v>
      </c>
      <c r="G6" s="56">
        <v>45065</v>
      </c>
      <c r="H6" s="57">
        <v>45066</v>
      </c>
    </row>
    <row r="7" spans="1:8" x14ac:dyDescent="0.35">
      <c r="A7" s="268"/>
      <c r="B7" s="58">
        <v>45067</v>
      </c>
      <c r="C7" s="59">
        <v>45068</v>
      </c>
      <c r="D7" s="59">
        <v>45069</v>
      </c>
      <c r="E7" s="59">
        <v>45070</v>
      </c>
      <c r="F7" s="59">
        <v>45071</v>
      </c>
      <c r="G7" s="59">
        <v>45072</v>
      </c>
      <c r="H7" s="60">
        <v>45073</v>
      </c>
    </row>
    <row r="8" spans="1:8" x14ac:dyDescent="0.35">
      <c r="A8" s="268"/>
      <c r="B8" s="49">
        <v>45074</v>
      </c>
      <c r="C8" s="50">
        <v>45075</v>
      </c>
      <c r="D8" s="50">
        <v>45076</v>
      </c>
      <c r="E8" s="50">
        <v>45077</v>
      </c>
      <c r="F8" s="50" t="str">
        <v/>
      </c>
      <c r="G8" s="50" t="str">
        <v/>
      </c>
      <c r="H8" s="51" t="str">
        <v/>
      </c>
    </row>
    <row r="9" spans="1:8" ht="15" thickBot="1" x14ac:dyDescent="0.4">
      <c r="A9" s="268"/>
      <c r="B9" s="69" t="str">
        <v/>
      </c>
      <c r="C9" s="70" t="str">
        <v/>
      </c>
      <c r="D9" s="70" t="str">
        <v/>
      </c>
      <c r="E9" s="70" t="str">
        <v/>
      </c>
      <c r="F9" s="70" t="str">
        <v/>
      </c>
      <c r="G9" s="70" t="str">
        <v/>
      </c>
      <c r="H9" s="71" t="str">
        <v/>
      </c>
    </row>
    <row r="10" spans="1:8" x14ac:dyDescent="0.35">
      <c r="A10" s="269" t="s">
        <v>31</v>
      </c>
      <c r="B10" s="66" t="str" cm="1">
        <f t="array" ref="B10:H15">IF(MONTH(DATE(YEAR(DreamStartDate),DreamStartMonth+1,1))-
MONTH(DATE(YEAR(DreamStartDate),DreamStartMonth+1,1)-
(WEEKDAY(DATE(YEAR(DreamStartDate),DreamStartMonth+1,1))-1)+
{0;1;2;3;4;5}*7+{1,2,3,4,5,6,7}-1),"",DATE(YEAR(DreamStartDate),
DreamStartMonth+1,1)-(WEEKDAY(DATE(YEAR(DreamStartDate),
DreamStartMonth+1,1))-1)+{0;1;2;3;4;5}*7+{1,2,3,4,5,6,7}-1)</f>
        <v/>
      </c>
      <c r="C10" s="72" t="str">
        <v/>
      </c>
      <c r="D10" s="72" t="str">
        <v/>
      </c>
      <c r="E10" s="72" t="str">
        <v/>
      </c>
      <c r="F10" s="72">
        <v>45078</v>
      </c>
      <c r="G10" s="72">
        <v>45079</v>
      </c>
      <c r="H10" s="73">
        <v>45080</v>
      </c>
    </row>
    <row r="11" spans="1:8" x14ac:dyDescent="0.35">
      <c r="A11" s="270"/>
      <c r="B11" s="74">
        <v>45081</v>
      </c>
      <c r="C11" s="75">
        <v>45082</v>
      </c>
      <c r="D11" s="75">
        <v>45083</v>
      </c>
      <c r="E11" s="75">
        <v>45084</v>
      </c>
      <c r="F11" s="75">
        <v>45085</v>
      </c>
      <c r="G11" s="75">
        <v>45086</v>
      </c>
      <c r="H11" s="76">
        <v>45087</v>
      </c>
    </row>
    <row r="12" spans="1:8" x14ac:dyDescent="0.35">
      <c r="A12" s="270"/>
      <c r="B12" s="77">
        <v>45088</v>
      </c>
      <c r="C12" s="78">
        <v>45089</v>
      </c>
      <c r="D12" s="78">
        <v>45090</v>
      </c>
      <c r="E12" s="78">
        <v>45091</v>
      </c>
      <c r="F12" s="78">
        <v>45092</v>
      </c>
      <c r="G12" s="78">
        <v>45093</v>
      </c>
      <c r="H12" s="79">
        <v>45094</v>
      </c>
    </row>
    <row r="13" spans="1:8" x14ac:dyDescent="0.35">
      <c r="A13" s="270"/>
      <c r="B13" s="80">
        <v>45095</v>
      </c>
      <c r="C13" s="81">
        <v>45096</v>
      </c>
      <c r="D13" s="81">
        <v>45097</v>
      </c>
      <c r="E13" s="81">
        <v>45098</v>
      </c>
      <c r="F13" s="81">
        <v>45099</v>
      </c>
      <c r="G13" s="81">
        <v>45100</v>
      </c>
      <c r="H13" s="82">
        <v>45101</v>
      </c>
    </row>
    <row r="14" spans="1:8" x14ac:dyDescent="0.35">
      <c r="A14" s="270"/>
      <c r="B14" s="83">
        <v>45102</v>
      </c>
      <c r="C14" s="84">
        <v>45103</v>
      </c>
      <c r="D14" s="84">
        <v>45104</v>
      </c>
      <c r="E14" s="84">
        <v>45105</v>
      </c>
      <c r="F14" s="84">
        <v>45106</v>
      </c>
      <c r="G14" s="84">
        <v>45107</v>
      </c>
      <c r="H14" s="85" t="str">
        <v/>
      </c>
    </row>
    <row r="15" spans="1:8" ht="15" thickBot="1" x14ac:dyDescent="0.4">
      <c r="A15" s="271"/>
      <c r="B15" s="86" t="str">
        <v/>
      </c>
      <c r="C15" s="87" t="str">
        <v/>
      </c>
      <c r="D15" s="87" t="str">
        <v/>
      </c>
      <c r="E15" s="87" t="str">
        <v/>
      </c>
      <c r="F15" s="87" t="str">
        <v/>
      </c>
      <c r="G15" s="87" t="str">
        <v/>
      </c>
      <c r="H15" s="88" t="str">
        <v/>
      </c>
    </row>
    <row r="16" spans="1:8" x14ac:dyDescent="0.35">
      <c r="A16" s="265" t="s">
        <v>32</v>
      </c>
      <c r="B16" s="66" t="str" cm="1">
        <f t="array" ref="B16:H21">IF(MONTH(DATE(YEAR(DreamStartDate),DreamStartMonth+2,1))-
MONTH(DATE(YEAR(DreamStartDate),DreamStartMonth+2,1)-
(WEEKDAY(DATE(YEAR(DreamStartDate),DreamStartMonth+2,1))-1)+
{0;1;2;3;4;5}*7+{1,2,3,4,5,6,7}-1),"",DATE(YEAR(DreamStartDate),
DreamStartMonth+2,1)-(WEEKDAY(DATE(YEAR(DreamStartDate),
DreamStartMonth+2,1))-1)+{0;1;2;3;4;5}*7+{1,2,3,4,5,6,7}-1)</f>
        <v/>
      </c>
      <c r="C16" s="89" t="str">
        <v/>
      </c>
      <c r="D16" s="89" t="str">
        <v/>
      </c>
      <c r="E16" s="89" t="str">
        <v/>
      </c>
      <c r="F16" s="89" t="str">
        <v/>
      </c>
      <c r="G16" s="89" t="str">
        <v/>
      </c>
      <c r="H16" s="90">
        <v>45108</v>
      </c>
    </row>
    <row r="17" spans="1:8" x14ac:dyDescent="0.35">
      <c r="A17" s="265"/>
      <c r="B17" s="91">
        <v>45109</v>
      </c>
      <c r="C17" s="92">
        <v>45110</v>
      </c>
      <c r="D17" s="92">
        <v>45111</v>
      </c>
      <c r="E17" s="92">
        <v>45112</v>
      </c>
      <c r="F17" s="92">
        <v>45113</v>
      </c>
      <c r="G17" s="92">
        <v>45114</v>
      </c>
      <c r="H17" s="93">
        <v>45115</v>
      </c>
    </row>
    <row r="18" spans="1:8" x14ac:dyDescent="0.35">
      <c r="A18" s="265"/>
      <c r="B18" s="91">
        <v>45116</v>
      </c>
      <c r="C18" s="92">
        <v>45117</v>
      </c>
      <c r="D18" s="92">
        <v>45118</v>
      </c>
      <c r="E18" s="92">
        <v>45119</v>
      </c>
      <c r="F18" s="92">
        <v>45120</v>
      </c>
      <c r="G18" s="92">
        <v>45121</v>
      </c>
      <c r="H18" s="93">
        <v>45122</v>
      </c>
    </row>
    <row r="19" spans="1:8" x14ac:dyDescent="0.35">
      <c r="A19" s="265"/>
      <c r="B19" s="91">
        <v>45123</v>
      </c>
      <c r="C19" s="92">
        <v>45124</v>
      </c>
      <c r="D19" s="92">
        <v>45125</v>
      </c>
      <c r="E19" s="92">
        <v>45126</v>
      </c>
      <c r="F19" s="92">
        <v>45127</v>
      </c>
      <c r="G19" s="92">
        <v>45128</v>
      </c>
      <c r="H19" s="93">
        <v>45129</v>
      </c>
    </row>
    <row r="20" spans="1:8" x14ac:dyDescent="0.35">
      <c r="A20" s="265"/>
      <c r="B20" s="91">
        <v>45130</v>
      </c>
      <c r="C20" s="92">
        <v>45131</v>
      </c>
      <c r="D20" s="92">
        <v>45132</v>
      </c>
      <c r="E20" s="92">
        <v>45133</v>
      </c>
      <c r="F20" s="92">
        <v>45134</v>
      </c>
      <c r="G20" s="92">
        <v>45135</v>
      </c>
      <c r="H20" s="93">
        <v>45136</v>
      </c>
    </row>
    <row r="21" spans="1:8" ht="15" thickBot="1" x14ac:dyDescent="0.4">
      <c r="A21" s="266"/>
      <c r="B21" s="94">
        <v>45137</v>
      </c>
      <c r="C21" s="95">
        <v>45138</v>
      </c>
      <c r="D21" s="95" t="str">
        <v/>
      </c>
      <c r="E21" s="95" t="str">
        <v/>
      </c>
      <c r="F21" s="95" t="str">
        <v/>
      </c>
      <c r="G21" s="95" t="str">
        <v/>
      </c>
      <c r="H21" s="96" t="str">
        <v/>
      </c>
    </row>
  </sheetData>
  <mergeCells count="3">
    <mergeCell ref="A16:A21"/>
    <mergeCell ref="A4:A9"/>
    <mergeCell ref="A10:A15"/>
  </mergeCells>
  <phoneticPr fontId="6" type="noConversion"/>
  <conditionalFormatting sqref="B4:G4">
    <cfRule type="expression" dxfId="3" priority="4">
      <formula>DAY(B4)&gt;8</formula>
    </cfRule>
  </conditionalFormatting>
  <conditionalFormatting sqref="C10:G10">
    <cfRule type="expression" dxfId="2" priority="3">
      <formula>DAY(C10)&gt;8</formula>
    </cfRule>
  </conditionalFormatting>
  <conditionalFormatting sqref="B10">
    <cfRule type="expression" dxfId="1" priority="2">
      <formula>DAY(B10)&gt;8</formula>
    </cfRule>
  </conditionalFormatting>
  <conditionalFormatting sqref="B16">
    <cfRule type="expression" dxfId="0" priority="1">
      <formula>DAY(B16)&gt;8</formula>
    </cfRule>
  </conditionalFormatting>
  <dataValidations count="4">
    <dataValidation allowBlank="1" showInputMessage="1" showErrorMessage="1" prompt="This row &amp; rows 5, 7, 9, 11 &amp; 13 contain calendar days of the week. If this cell doesn’t contain the number 1, then it is a day from the previous month. Enter notes in cell E13" sqref="B4 B10 B16" xr:uid="{E19945E6-939D-4F8A-9C26-BB6C8EA6FE73}"/>
    <dataValidation allowBlank="1" showInputMessage="1" showErrorMessage="1" prompt="This row &amp; rows 6, 8, 10, 12, &amp; 14 are cells for entering daily notes related to the calendar day in the cell above" sqref="B5 B11" xr:uid="{455F01F2-D309-4283-A72F-92043361F812}"/>
    <dataValidation allowBlank="1" showInputMessage="1" showErrorMessage="1" prompt="Automatically determined weekday" sqref="C3 E3 G3" xr:uid="{6EDFFFD6-B232-45B6-88A7-8E3684EEFAA8}"/>
    <dataValidation allowBlank="1" showInputMessage="1" showErrorMessage="1" prompt="This row contains weekday names for this calendar. This cell contains the starting day of the week. To change week start day, enter a new weekday in cell K3, in this worksheet" sqref="B3 D3 F3 H3" xr:uid="{8FC9DA0C-68F3-421F-BB94-8B722A4E8544}"/>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47969-DCF2-42BB-ADB0-7EDB197D2F99}">
  <sheetPr codeName="Sheet6">
    <tabColor theme="7"/>
  </sheetPr>
  <dimension ref="A1:AB33"/>
  <sheetViews>
    <sheetView showGridLines="0" workbookViewId="0">
      <selection activeCell="F10" sqref="F10"/>
    </sheetView>
  </sheetViews>
  <sheetFormatPr defaultRowHeight="14.5" x14ac:dyDescent="0.35"/>
  <cols>
    <col min="1" max="1" width="3.7265625" customWidth="1"/>
    <col min="2" max="3" width="28" customWidth="1"/>
    <col min="4" max="4" width="21.90625" customWidth="1"/>
    <col min="5" max="5" width="8.453125" customWidth="1"/>
    <col min="6" max="6" width="38.1796875" customWidth="1"/>
    <col min="7" max="7" width="9.81640625" customWidth="1"/>
    <col min="8" max="8" width="10" customWidth="1"/>
    <col min="9" max="9" width="15.90625" customWidth="1"/>
    <col min="10" max="10" width="9" customWidth="1"/>
    <col min="11" max="11" width="12" customWidth="1"/>
    <col min="12" max="12" width="11.453125" customWidth="1"/>
  </cols>
  <sheetData>
    <row r="1" spans="1:28" x14ac:dyDescent="0.35">
      <c r="A1" s="3"/>
      <c r="B1" s="3"/>
      <c r="C1" s="3"/>
      <c r="D1" s="3"/>
      <c r="E1" s="3"/>
      <c r="F1" s="3"/>
      <c r="G1" s="3"/>
      <c r="H1" s="3"/>
      <c r="I1" s="3"/>
      <c r="J1" s="3"/>
      <c r="K1" s="3"/>
      <c r="L1" s="3"/>
      <c r="M1" s="3"/>
      <c r="N1" s="3"/>
      <c r="O1" s="3"/>
      <c r="P1" s="3"/>
      <c r="Q1" s="3"/>
      <c r="R1" s="3"/>
      <c r="S1" s="3"/>
      <c r="T1" s="3"/>
      <c r="U1" s="3"/>
      <c r="V1" s="3"/>
      <c r="W1" s="3"/>
      <c r="X1" s="3"/>
      <c r="Y1" s="3"/>
      <c r="Z1" s="3"/>
      <c r="AA1" s="3"/>
      <c r="AB1" s="3"/>
    </row>
    <row r="2" spans="1:28" ht="21.5" thickBot="1" x14ac:dyDescent="0.55000000000000004">
      <c r="A2" s="3"/>
      <c r="B2" s="239" t="s">
        <v>39</v>
      </c>
      <c r="C2" s="239"/>
      <c r="D2" s="239"/>
      <c r="E2" s="4"/>
      <c r="F2" s="119" t="s">
        <v>182</v>
      </c>
      <c r="G2" s="4"/>
      <c r="H2" s="4"/>
      <c r="I2" s="3"/>
      <c r="J2" s="119" t="s">
        <v>51</v>
      </c>
      <c r="K2" s="4"/>
      <c r="L2" s="4"/>
      <c r="M2" s="4"/>
      <c r="N2" s="3"/>
      <c r="O2" s="3"/>
      <c r="P2" s="3"/>
      <c r="Q2" s="3"/>
      <c r="R2" s="3"/>
      <c r="S2" s="3"/>
      <c r="T2" s="3"/>
      <c r="U2" s="3"/>
      <c r="V2" s="3"/>
      <c r="W2" s="3"/>
      <c r="X2" s="3"/>
      <c r="Y2" s="3"/>
      <c r="Z2" s="3"/>
      <c r="AA2" s="3"/>
      <c r="AB2" s="3"/>
    </row>
    <row r="3" spans="1:28" ht="15" thickBot="1" x14ac:dyDescent="0.4">
      <c r="A3" s="3"/>
      <c r="B3" s="272" t="s">
        <v>40</v>
      </c>
      <c r="C3" s="272"/>
      <c r="D3" s="272"/>
      <c r="E3" s="272"/>
      <c r="F3" s="120">
        <f>SUM(I7:I31)</f>
        <v>270</v>
      </c>
      <c r="G3" s="273"/>
      <c r="H3" s="273"/>
      <c r="I3" s="3"/>
      <c r="J3" s="121">
        <f>COUNTIF(J7:J31,"Yes")/COUNTA(F7:F31)</f>
        <v>0</v>
      </c>
      <c r="K3" s="3"/>
      <c r="L3" s="3"/>
      <c r="M3" s="3"/>
      <c r="N3" s="3"/>
      <c r="O3" s="3"/>
      <c r="P3" s="3"/>
      <c r="Q3" s="3"/>
      <c r="R3" s="3"/>
      <c r="S3" s="3"/>
      <c r="T3" s="3"/>
      <c r="U3" s="3"/>
      <c r="V3" s="3"/>
      <c r="W3" s="3"/>
      <c r="X3" s="3"/>
      <c r="Y3" s="3"/>
      <c r="Z3" s="3"/>
      <c r="AA3" s="3"/>
      <c r="AB3" s="3"/>
    </row>
    <row r="4" spans="1:28" x14ac:dyDescent="0.35">
      <c r="A4" s="3"/>
      <c r="B4" s="3" t="s">
        <v>97</v>
      </c>
      <c r="C4" s="3"/>
      <c r="D4" s="3"/>
      <c r="E4" s="3"/>
      <c r="F4" s="3"/>
      <c r="G4" s="3"/>
      <c r="H4" s="3"/>
      <c r="I4" s="3"/>
      <c r="J4" s="3"/>
      <c r="K4" s="3"/>
      <c r="L4" s="3"/>
      <c r="M4" s="3"/>
      <c r="N4" s="3"/>
      <c r="O4" s="3"/>
      <c r="P4" s="3"/>
      <c r="Q4" s="3"/>
      <c r="R4" s="3"/>
      <c r="S4" s="3"/>
      <c r="T4" s="3"/>
      <c r="U4" s="3"/>
      <c r="V4" s="3"/>
      <c r="W4" s="3"/>
      <c r="X4" s="3"/>
      <c r="Y4" s="3"/>
      <c r="Z4" s="3"/>
      <c r="AA4" s="3"/>
      <c r="AB4" s="3"/>
    </row>
    <row r="5" spans="1:28" ht="15" thickBot="1" x14ac:dyDescent="0.4">
      <c r="A5" s="3"/>
      <c r="B5" s="3"/>
      <c r="C5" s="3"/>
      <c r="D5" s="3"/>
      <c r="E5" s="3"/>
      <c r="F5" s="3"/>
      <c r="G5" s="3"/>
      <c r="H5" s="3"/>
      <c r="I5" s="3"/>
      <c r="J5" s="3"/>
      <c r="K5" s="3"/>
      <c r="L5" s="3"/>
      <c r="M5" s="3"/>
      <c r="N5" s="3"/>
      <c r="O5" s="3"/>
      <c r="P5" s="3"/>
      <c r="Q5" s="3"/>
      <c r="R5" s="3"/>
      <c r="S5" s="3"/>
      <c r="T5" s="3"/>
      <c r="U5" s="3"/>
      <c r="V5" s="3"/>
      <c r="W5" s="3"/>
      <c r="X5" s="3"/>
      <c r="Y5" s="3"/>
      <c r="Z5" s="3"/>
      <c r="AA5" s="3"/>
      <c r="AB5" s="3"/>
    </row>
    <row r="6" spans="1:28" ht="15" thickBot="1" x14ac:dyDescent="0.4">
      <c r="A6" s="3"/>
      <c r="B6" s="155" t="s">
        <v>41</v>
      </c>
      <c r="C6" s="156" t="s">
        <v>42</v>
      </c>
      <c r="D6" s="156" t="s">
        <v>12</v>
      </c>
      <c r="E6" s="156" t="s">
        <v>47</v>
      </c>
      <c r="F6" s="156" t="s">
        <v>43</v>
      </c>
      <c r="G6" s="156" t="s">
        <v>48</v>
      </c>
      <c r="H6" s="156" t="s">
        <v>50</v>
      </c>
      <c r="I6" s="156" t="s">
        <v>49</v>
      </c>
      <c r="J6" s="156" t="s">
        <v>55</v>
      </c>
      <c r="K6" s="156" t="s">
        <v>44</v>
      </c>
      <c r="L6" s="157" t="s">
        <v>45</v>
      </c>
      <c r="M6" s="3"/>
      <c r="N6" s="3"/>
      <c r="O6" s="3"/>
      <c r="P6" s="3"/>
      <c r="Q6" s="3"/>
      <c r="R6" s="3"/>
      <c r="S6" s="3"/>
      <c r="T6" s="3"/>
      <c r="U6" s="3"/>
      <c r="V6" s="3"/>
      <c r="W6" s="3"/>
      <c r="X6" s="3"/>
      <c r="Y6" s="3"/>
      <c r="Z6" s="3"/>
      <c r="AA6" s="3"/>
      <c r="AB6" s="3"/>
    </row>
    <row r="7" spans="1:28" x14ac:dyDescent="0.35">
      <c r="A7" s="3"/>
      <c r="B7" s="115">
        <f>'#1 Trip Dreaming'!K6</f>
        <v>45071</v>
      </c>
      <c r="C7" s="116">
        <f>'#1 Trip Dreaming'!L6</f>
        <v>45073</v>
      </c>
      <c r="D7" s="14" t="str">
        <f>'#1 Trip Dreaming'!M6</f>
        <v>Barcelona, Spain</v>
      </c>
      <c r="E7" s="14">
        <f>IF('#1 Trip Dreaming'!N6=0," ",'#1 Trip Dreaming'!N6)</f>
        <v>2</v>
      </c>
      <c r="F7" s="179" t="s">
        <v>170</v>
      </c>
      <c r="G7" s="179"/>
      <c r="H7" s="179">
        <v>50</v>
      </c>
      <c r="I7" s="191">
        <v>50</v>
      </c>
      <c r="J7" s="179"/>
      <c r="K7" s="179"/>
      <c r="L7" s="180"/>
      <c r="M7" s="3"/>
      <c r="N7" s="3"/>
      <c r="O7" s="3"/>
      <c r="P7" s="3"/>
      <c r="Q7" s="3"/>
      <c r="R7" s="3"/>
      <c r="S7" s="3"/>
      <c r="T7" s="3"/>
      <c r="U7" s="3"/>
      <c r="V7" s="3"/>
      <c r="W7" s="3"/>
      <c r="X7" s="3"/>
      <c r="Y7" s="3"/>
      <c r="Z7" s="3"/>
      <c r="AA7" s="3"/>
      <c r="AB7" s="3"/>
    </row>
    <row r="8" spans="1:28" x14ac:dyDescent="0.35">
      <c r="A8" s="3"/>
      <c r="B8" s="115">
        <f>'#1 Trip Dreaming'!K7</f>
        <v>45073</v>
      </c>
      <c r="C8" s="116">
        <f>'#1 Trip Dreaming'!L7</f>
        <v>45077</v>
      </c>
      <c r="D8" s="14" t="str">
        <f>'#1 Trip Dreaming'!M7</f>
        <v>Mallorca, Spain</v>
      </c>
      <c r="E8" s="14">
        <f>IF('#1 Trip Dreaming'!N7=0," ",'#1 Trip Dreaming'!N7)</f>
        <v>4</v>
      </c>
      <c r="F8" s="182" t="s">
        <v>169</v>
      </c>
      <c r="G8" s="182"/>
      <c r="H8" s="182">
        <v>220</v>
      </c>
      <c r="I8" s="192">
        <v>220</v>
      </c>
      <c r="J8" s="179"/>
      <c r="K8" s="179"/>
      <c r="L8" s="183"/>
      <c r="M8" s="3"/>
      <c r="N8" s="3"/>
      <c r="O8" s="3"/>
      <c r="P8" s="3"/>
      <c r="Q8" s="3"/>
      <c r="R8" s="3"/>
      <c r="S8" s="3"/>
      <c r="T8" s="3"/>
      <c r="U8" s="3"/>
      <c r="V8" s="3"/>
      <c r="W8" s="3"/>
      <c r="X8" s="3"/>
      <c r="Y8" s="3"/>
      <c r="Z8" s="3"/>
      <c r="AA8" s="3"/>
      <c r="AB8" s="3"/>
    </row>
    <row r="9" spans="1:28" x14ac:dyDescent="0.35">
      <c r="A9" s="3"/>
      <c r="B9" s="115">
        <f>'#1 Trip Dreaming'!K8</f>
        <v>45077</v>
      </c>
      <c r="C9" s="116">
        <f>'#1 Trip Dreaming'!L8</f>
        <v>45079</v>
      </c>
      <c r="D9" s="14" t="str">
        <f>'#1 Trip Dreaming'!M8</f>
        <v>Ibiza, Spain</v>
      </c>
      <c r="E9" s="14">
        <f>IF('#1 Trip Dreaming'!N8=0," ",'#1 Trip Dreaming'!N8)</f>
        <v>2</v>
      </c>
      <c r="F9" s="182" t="s">
        <v>183</v>
      </c>
      <c r="G9" s="182"/>
      <c r="H9" s="182"/>
      <c r="I9" s="192"/>
      <c r="J9" s="179"/>
      <c r="K9" s="179"/>
      <c r="L9" s="183"/>
      <c r="M9" s="3"/>
      <c r="N9" s="3"/>
      <c r="O9" s="3"/>
      <c r="P9" s="3"/>
      <c r="Q9" s="3"/>
      <c r="R9" s="3"/>
      <c r="S9" s="3"/>
      <c r="T9" s="3"/>
      <c r="U9" s="3"/>
      <c r="V9" s="3"/>
      <c r="W9" s="3"/>
      <c r="X9" s="3"/>
      <c r="Y9" s="3"/>
      <c r="Z9" s="3"/>
      <c r="AA9" s="3"/>
      <c r="AB9" s="3"/>
    </row>
    <row r="10" spans="1:28" x14ac:dyDescent="0.35">
      <c r="A10" s="3"/>
      <c r="B10" s="115">
        <f>'#1 Trip Dreaming'!K9</f>
        <v>45079</v>
      </c>
      <c r="C10" s="116">
        <f>'#1 Trip Dreaming'!L9</f>
        <v>45080</v>
      </c>
      <c r="D10" s="14" t="str">
        <f>'#1 Trip Dreaming'!M9</f>
        <v>Barcelona, Spain</v>
      </c>
      <c r="E10" s="14">
        <f>IF('#1 Trip Dreaming'!N9=0," ",'#1 Trip Dreaming'!N9)</f>
        <v>1</v>
      </c>
      <c r="F10" s="182"/>
      <c r="G10" s="182"/>
      <c r="H10" s="182"/>
      <c r="I10" s="192"/>
      <c r="J10" s="179"/>
      <c r="K10" s="179"/>
      <c r="L10" s="183"/>
      <c r="M10" s="3"/>
      <c r="N10" s="3"/>
      <c r="O10" s="3"/>
      <c r="P10" s="3"/>
      <c r="Q10" s="3"/>
      <c r="R10" s="3"/>
      <c r="S10" s="3"/>
      <c r="T10" s="3"/>
      <c r="U10" s="3"/>
      <c r="V10" s="3"/>
      <c r="W10" s="3"/>
      <c r="X10" s="3"/>
      <c r="Y10" s="3"/>
      <c r="Z10" s="3"/>
      <c r="AA10" s="3"/>
      <c r="AB10" s="3"/>
    </row>
    <row r="11" spans="1:28" x14ac:dyDescent="0.35">
      <c r="A11" s="3"/>
      <c r="B11" s="115">
        <f>'#1 Trip Dreaming'!K10</f>
        <v>45080</v>
      </c>
      <c r="C11" s="116">
        <f>'#1 Trip Dreaming'!L10</f>
        <v>45080</v>
      </c>
      <c r="D11" s="14" t="str">
        <f>'#1 Trip Dreaming'!M10</f>
        <v xml:space="preserve"> </v>
      </c>
      <c r="E11" s="14" t="str">
        <f>IF('#1 Trip Dreaming'!N10=0," ",'#1 Trip Dreaming'!N10)</f>
        <v xml:space="preserve"> </v>
      </c>
      <c r="F11" s="182"/>
      <c r="G11" s="182"/>
      <c r="H11" s="182"/>
      <c r="I11" s="192"/>
      <c r="J11" s="179"/>
      <c r="K11" s="179"/>
      <c r="L11" s="183"/>
      <c r="M11" s="3"/>
      <c r="N11" s="3"/>
      <c r="O11" s="3"/>
      <c r="P11" s="3"/>
      <c r="Q11" s="3"/>
      <c r="R11" s="3"/>
      <c r="S11" s="3"/>
      <c r="T11" s="3"/>
      <c r="U11" s="3"/>
      <c r="V11" s="3"/>
      <c r="W11" s="3"/>
      <c r="X11" s="3"/>
      <c r="Y11" s="3"/>
      <c r="Z11" s="3"/>
      <c r="AA11" s="3"/>
      <c r="AB11" s="3"/>
    </row>
    <row r="12" spans="1:28" x14ac:dyDescent="0.35">
      <c r="A12" s="3"/>
      <c r="B12" s="115" t="str">
        <f>'#1 Trip Dreaming'!K11</f>
        <v xml:space="preserve"> </v>
      </c>
      <c r="C12" s="116" t="str">
        <f>'#1 Trip Dreaming'!L11</f>
        <v xml:space="preserve"> </v>
      </c>
      <c r="D12" s="14" t="str">
        <f>'#1 Trip Dreaming'!M11</f>
        <v xml:space="preserve"> </v>
      </c>
      <c r="E12" s="14" t="str">
        <f>IF('#1 Trip Dreaming'!N11=0," ",'#1 Trip Dreaming'!N11)</f>
        <v xml:space="preserve"> </v>
      </c>
      <c r="F12" s="182"/>
      <c r="G12" s="182"/>
      <c r="H12" s="182"/>
      <c r="I12" s="192"/>
      <c r="J12" s="179"/>
      <c r="K12" s="179"/>
      <c r="L12" s="183"/>
      <c r="M12" s="3"/>
      <c r="N12" s="3"/>
      <c r="O12" s="3"/>
      <c r="P12" s="3"/>
      <c r="Q12" s="3"/>
      <c r="R12" s="3"/>
      <c r="S12" s="3"/>
      <c r="T12" s="3"/>
      <c r="U12" s="3"/>
      <c r="V12" s="3"/>
      <c r="W12" s="3"/>
      <c r="X12" s="3"/>
      <c r="Y12" s="3"/>
      <c r="Z12" s="3"/>
      <c r="AA12" s="3"/>
      <c r="AB12" s="3"/>
    </row>
    <row r="13" spans="1:28" x14ac:dyDescent="0.35">
      <c r="A13" s="3"/>
      <c r="B13" s="115" t="str">
        <f>'#1 Trip Dreaming'!K12</f>
        <v xml:space="preserve"> </v>
      </c>
      <c r="C13" s="116" t="str">
        <f>'#1 Trip Dreaming'!L12</f>
        <v xml:space="preserve"> </v>
      </c>
      <c r="D13" s="14" t="str">
        <f>'#1 Trip Dreaming'!M12</f>
        <v xml:space="preserve"> </v>
      </c>
      <c r="E13" s="14" t="str">
        <f>IF('#1 Trip Dreaming'!N12=0," ",'#1 Trip Dreaming'!N12)</f>
        <v xml:space="preserve"> </v>
      </c>
      <c r="F13" s="182"/>
      <c r="G13" s="182"/>
      <c r="H13" s="182"/>
      <c r="I13" s="192"/>
      <c r="J13" s="179"/>
      <c r="K13" s="179"/>
      <c r="L13" s="183"/>
      <c r="M13" s="3"/>
      <c r="N13" s="3"/>
      <c r="O13" s="3"/>
      <c r="P13" s="3"/>
      <c r="Q13" s="3"/>
      <c r="R13" s="3"/>
      <c r="S13" s="3"/>
      <c r="T13" s="3"/>
      <c r="U13" s="3"/>
      <c r="V13" s="3"/>
      <c r="W13" s="3"/>
      <c r="X13" s="3"/>
      <c r="Y13" s="3"/>
      <c r="Z13" s="3"/>
      <c r="AA13" s="3"/>
      <c r="AB13" s="3"/>
    </row>
    <row r="14" spans="1:28" x14ac:dyDescent="0.35">
      <c r="A14" s="3"/>
      <c r="B14" s="115" t="str">
        <f>'#1 Trip Dreaming'!K13</f>
        <v xml:space="preserve"> </v>
      </c>
      <c r="C14" s="116" t="str">
        <f>'#1 Trip Dreaming'!L13</f>
        <v xml:space="preserve"> </v>
      </c>
      <c r="D14" s="14" t="str">
        <f>'#1 Trip Dreaming'!M13</f>
        <v xml:space="preserve"> </v>
      </c>
      <c r="E14" s="14" t="str">
        <f>IF('#1 Trip Dreaming'!N13=0," ",'#1 Trip Dreaming'!N13)</f>
        <v xml:space="preserve"> </v>
      </c>
      <c r="F14" s="182"/>
      <c r="G14" s="182"/>
      <c r="H14" s="182"/>
      <c r="I14" s="192"/>
      <c r="J14" s="179"/>
      <c r="K14" s="179"/>
      <c r="L14" s="183"/>
      <c r="M14" s="3"/>
      <c r="N14" s="3"/>
      <c r="O14" s="3"/>
      <c r="P14" s="3"/>
      <c r="Q14" s="3"/>
      <c r="R14" s="3"/>
      <c r="S14" s="3"/>
      <c r="T14" s="3"/>
      <c r="U14" s="3"/>
      <c r="V14" s="3"/>
      <c r="W14" s="3"/>
      <c r="X14" s="3"/>
      <c r="Y14" s="3"/>
      <c r="Z14" s="3"/>
      <c r="AA14" s="3"/>
      <c r="AB14" s="3"/>
    </row>
    <row r="15" spans="1:28" x14ac:dyDescent="0.35">
      <c r="A15" s="3"/>
      <c r="B15" s="115" t="str">
        <f>'#1 Trip Dreaming'!K14</f>
        <v xml:space="preserve"> </v>
      </c>
      <c r="C15" s="116" t="str">
        <f>'#1 Trip Dreaming'!L14</f>
        <v xml:space="preserve"> </v>
      </c>
      <c r="D15" s="14" t="str">
        <f>'#1 Trip Dreaming'!M14</f>
        <v xml:space="preserve"> </v>
      </c>
      <c r="E15" s="14" t="str">
        <f>IF('#1 Trip Dreaming'!N14=0," ",'#1 Trip Dreaming'!N14)</f>
        <v xml:space="preserve"> </v>
      </c>
      <c r="F15" s="182"/>
      <c r="G15" s="182"/>
      <c r="H15" s="182"/>
      <c r="I15" s="192"/>
      <c r="J15" s="179"/>
      <c r="K15" s="179"/>
      <c r="L15" s="183"/>
      <c r="M15" s="3"/>
      <c r="N15" s="3"/>
      <c r="O15" s="3"/>
      <c r="P15" s="3"/>
      <c r="Q15" s="3"/>
      <c r="R15" s="3"/>
      <c r="S15" s="3"/>
      <c r="T15" s="3"/>
      <c r="U15" s="3"/>
      <c r="V15" s="3"/>
      <c r="W15" s="3"/>
      <c r="X15" s="3"/>
      <c r="Y15" s="3"/>
      <c r="Z15" s="3"/>
      <c r="AA15" s="3"/>
      <c r="AB15" s="3"/>
    </row>
    <row r="16" spans="1:28" x14ac:dyDescent="0.35">
      <c r="A16" s="3"/>
      <c r="B16" s="115" t="str">
        <f>'#1 Trip Dreaming'!K15</f>
        <v xml:space="preserve"> </v>
      </c>
      <c r="C16" s="116" t="str">
        <f>'#1 Trip Dreaming'!L15</f>
        <v xml:space="preserve"> </v>
      </c>
      <c r="D16" s="14" t="str">
        <f>'#1 Trip Dreaming'!M15</f>
        <v xml:space="preserve"> </v>
      </c>
      <c r="E16" s="14" t="str">
        <f>IF('#1 Trip Dreaming'!N15=0," ",'#1 Trip Dreaming'!N15)</f>
        <v xml:space="preserve"> </v>
      </c>
      <c r="F16" s="182"/>
      <c r="G16" s="182"/>
      <c r="H16" s="182"/>
      <c r="I16" s="192"/>
      <c r="J16" s="179"/>
      <c r="K16" s="179"/>
      <c r="L16" s="183"/>
      <c r="M16" s="3"/>
      <c r="N16" s="3"/>
      <c r="O16" s="3"/>
      <c r="P16" s="3"/>
      <c r="Q16" s="3"/>
      <c r="R16" s="3"/>
      <c r="S16" s="3"/>
      <c r="T16" s="3"/>
      <c r="U16" s="3"/>
      <c r="V16" s="3"/>
      <c r="W16" s="3"/>
      <c r="X16" s="3"/>
      <c r="Y16" s="3"/>
      <c r="Z16" s="3"/>
      <c r="AA16" s="3"/>
      <c r="AB16" s="3"/>
    </row>
    <row r="17" spans="1:28" x14ac:dyDescent="0.35">
      <c r="A17" s="3"/>
      <c r="B17" s="115" t="str">
        <f>'#1 Trip Dreaming'!K16</f>
        <v xml:space="preserve"> </v>
      </c>
      <c r="C17" s="116" t="str">
        <f>'#1 Trip Dreaming'!L16</f>
        <v xml:space="preserve"> </v>
      </c>
      <c r="D17" s="14" t="str">
        <f>'#1 Trip Dreaming'!M16</f>
        <v xml:space="preserve"> </v>
      </c>
      <c r="E17" s="14" t="str">
        <f>IF('#1 Trip Dreaming'!N16=0," ",'#1 Trip Dreaming'!N16)</f>
        <v xml:space="preserve"> </v>
      </c>
      <c r="F17" s="182"/>
      <c r="G17" s="182"/>
      <c r="H17" s="182"/>
      <c r="I17" s="192"/>
      <c r="J17" s="179"/>
      <c r="K17" s="179"/>
      <c r="L17" s="183"/>
      <c r="M17" s="3"/>
      <c r="N17" s="3"/>
      <c r="O17" s="3"/>
      <c r="P17" s="3"/>
      <c r="Q17" s="3"/>
      <c r="R17" s="3"/>
      <c r="S17" s="3"/>
      <c r="T17" s="3"/>
      <c r="U17" s="3"/>
      <c r="V17" s="3"/>
      <c r="W17" s="3"/>
      <c r="X17" s="3"/>
      <c r="Y17" s="3"/>
      <c r="Z17" s="3"/>
      <c r="AA17" s="3"/>
      <c r="AB17" s="3"/>
    </row>
    <row r="18" spans="1:28" x14ac:dyDescent="0.35">
      <c r="A18" s="3"/>
      <c r="B18" s="115" t="str">
        <f>'#1 Trip Dreaming'!K17</f>
        <v xml:space="preserve"> </v>
      </c>
      <c r="C18" s="116" t="str">
        <f>'#1 Trip Dreaming'!L17</f>
        <v xml:space="preserve"> </v>
      </c>
      <c r="D18" s="14" t="str">
        <f>'#1 Trip Dreaming'!M17</f>
        <v xml:space="preserve"> </v>
      </c>
      <c r="E18" s="14" t="str">
        <f>IF('#1 Trip Dreaming'!N17=0," ",'#1 Trip Dreaming'!N17)</f>
        <v xml:space="preserve"> </v>
      </c>
      <c r="F18" s="182"/>
      <c r="G18" s="182"/>
      <c r="H18" s="182"/>
      <c r="I18" s="192"/>
      <c r="J18" s="179"/>
      <c r="K18" s="179"/>
      <c r="L18" s="183"/>
      <c r="M18" s="3"/>
      <c r="N18" s="3"/>
      <c r="O18" s="3"/>
      <c r="P18" s="3"/>
      <c r="Q18" s="3"/>
      <c r="R18" s="3"/>
      <c r="S18" s="3"/>
      <c r="T18" s="3"/>
      <c r="U18" s="3"/>
      <c r="V18" s="3"/>
      <c r="W18" s="3"/>
      <c r="X18" s="3"/>
      <c r="Y18" s="3"/>
      <c r="Z18" s="3"/>
      <c r="AA18" s="3"/>
      <c r="AB18" s="3"/>
    </row>
    <row r="19" spans="1:28" x14ac:dyDescent="0.35">
      <c r="A19" s="3"/>
      <c r="B19" s="115" t="str">
        <f>'#1 Trip Dreaming'!K18</f>
        <v xml:space="preserve"> </v>
      </c>
      <c r="C19" s="116" t="str">
        <f>'#1 Trip Dreaming'!L18</f>
        <v xml:space="preserve"> </v>
      </c>
      <c r="D19" s="14" t="str">
        <f>'#1 Trip Dreaming'!M18</f>
        <v xml:space="preserve"> </v>
      </c>
      <c r="E19" s="14" t="str">
        <f>IF('#1 Trip Dreaming'!N18=0," ",'#1 Trip Dreaming'!N18)</f>
        <v xml:space="preserve"> </v>
      </c>
      <c r="F19" s="182"/>
      <c r="G19" s="182"/>
      <c r="H19" s="182"/>
      <c r="I19" s="182"/>
      <c r="J19" s="182"/>
      <c r="K19" s="182"/>
      <c r="L19" s="183"/>
      <c r="M19" s="3"/>
      <c r="N19" s="3"/>
      <c r="O19" s="3"/>
      <c r="P19" s="3"/>
      <c r="Q19" s="3"/>
      <c r="R19" s="3"/>
      <c r="S19" s="3"/>
      <c r="T19" s="3"/>
      <c r="U19" s="3"/>
      <c r="V19" s="3"/>
      <c r="W19" s="3"/>
      <c r="X19" s="3"/>
      <c r="Y19" s="3"/>
      <c r="Z19" s="3"/>
      <c r="AA19" s="3"/>
      <c r="AB19" s="3"/>
    </row>
    <row r="20" spans="1:28" x14ac:dyDescent="0.35">
      <c r="A20" s="3"/>
      <c r="B20" s="115" t="str">
        <f>'#1 Trip Dreaming'!K19</f>
        <v xml:space="preserve"> </v>
      </c>
      <c r="C20" s="116" t="str">
        <f>'#1 Trip Dreaming'!L19</f>
        <v xml:space="preserve"> </v>
      </c>
      <c r="D20" s="14" t="str">
        <f>'#1 Trip Dreaming'!M19</f>
        <v xml:space="preserve"> </v>
      </c>
      <c r="E20" s="14" t="str">
        <f>IF('#1 Trip Dreaming'!N19=0," ",'#1 Trip Dreaming'!N19)</f>
        <v xml:space="preserve"> </v>
      </c>
      <c r="F20" s="182"/>
      <c r="G20" s="182"/>
      <c r="H20" s="182"/>
      <c r="I20" s="182"/>
      <c r="J20" s="182"/>
      <c r="K20" s="182"/>
      <c r="L20" s="183"/>
      <c r="M20" s="3"/>
      <c r="N20" s="3"/>
      <c r="O20" s="3"/>
      <c r="P20" s="3"/>
      <c r="Q20" s="3"/>
      <c r="R20" s="3"/>
      <c r="S20" s="3"/>
      <c r="T20" s="3"/>
      <c r="U20" s="3"/>
      <c r="V20" s="3"/>
      <c r="W20" s="3"/>
      <c r="X20" s="3"/>
      <c r="Y20" s="3"/>
      <c r="Z20" s="3"/>
      <c r="AA20" s="3"/>
      <c r="AB20" s="3"/>
    </row>
    <row r="21" spans="1:28" x14ac:dyDescent="0.35">
      <c r="A21" s="3"/>
      <c r="B21" s="115" t="str">
        <f>'#1 Trip Dreaming'!K20</f>
        <v xml:space="preserve"> </v>
      </c>
      <c r="C21" s="116" t="str">
        <f>'#1 Trip Dreaming'!L20</f>
        <v xml:space="preserve"> </v>
      </c>
      <c r="D21" s="14" t="str">
        <f>'#1 Trip Dreaming'!M20</f>
        <v xml:space="preserve"> </v>
      </c>
      <c r="E21" s="14" t="str">
        <f>IF('#1 Trip Dreaming'!N20=0," ",'#1 Trip Dreaming'!N20)</f>
        <v xml:space="preserve"> </v>
      </c>
      <c r="F21" s="182"/>
      <c r="G21" s="182"/>
      <c r="H21" s="182"/>
      <c r="I21" s="182"/>
      <c r="J21" s="182"/>
      <c r="K21" s="182"/>
      <c r="L21" s="183"/>
      <c r="M21" s="3"/>
      <c r="N21" s="3"/>
      <c r="O21" s="3"/>
      <c r="P21" s="3"/>
      <c r="Q21" s="3"/>
      <c r="R21" s="3"/>
      <c r="S21" s="3"/>
      <c r="T21" s="3"/>
      <c r="U21" s="3"/>
      <c r="V21" s="3"/>
      <c r="W21" s="3"/>
      <c r="X21" s="3"/>
      <c r="Y21" s="3"/>
      <c r="Z21" s="3"/>
      <c r="AA21" s="3"/>
      <c r="AB21" s="3"/>
    </row>
    <row r="22" spans="1:28" x14ac:dyDescent="0.35">
      <c r="A22" s="3"/>
      <c r="B22" s="115" t="str">
        <f>'#1 Trip Dreaming'!K21</f>
        <v xml:space="preserve"> </v>
      </c>
      <c r="C22" s="116" t="str">
        <f>'#1 Trip Dreaming'!L21</f>
        <v xml:space="preserve"> </v>
      </c>
      <c r="D22" s="14" t="str">
        <f>'#1 Trip Dreaming'!M21</f>
        <v xml:space="preserve"> </v>
      </c>
      <c r="E22" s="14" t="str">
        <f>IF('#1 Trip Dreaming'!N21=0," ",'#1 Trip Dreaming'!N21)</f>
        <v xml:space="preserve"> </v>
      </c>
      <c r="F22" s="182"/>
      <c r="G22" s="182"/>
      <c r="H22" s="182"/>
      <c r="I22" s="182"/>
      <c r="J22" s="182"/>
      <c r="K22" s="182"/>
      <c r="L22" s="183"/>
      <c r="M22" s="3"/>
      <c r="N22" s="3"/>
      <c r="O22" s="3"/>
      <c r="P22" s="3"/>
      <c r="Q22" s="3"/>
      <c r="R22" s="3"/>
      <c r="S22" s="3"/>
      <c r="T22" s="3"/>
      <c r="U22" s="3"/>
      <c r="V22" s="3"/>
      <c r="W22" s="3"/>
      <c r="X22" s="3"/>
      <c r="Y22" s="3"/>
      <c r="Z22" s="3"/>
      <c r="AA22" s="3"/>
      <c r="AB22" s="3"/>
    </row>
    <row r="23" spans="1:28" x14ac:dyDescent="0.35">
      <c r="A23" s="3"/>
      <c r="B23" s="115" t="str">
        <f>'#1 Trip Dreaming'!K22</f>
        <v xml:space="preserve"> </v>
      </c>
      <c r="C23" s="116" t="str">
        <f>'#1 Trip Dreaming'!L22</f>
        <v xml:space="preserve"> </v>
      </c>
      <c r="D23" s="14" t="str">
        <f>'#1 Trip Dreaming'!M22</f>
        <v xml:space="preserve"> </v>
      </c>
      <c r="E23" s="14" t="str">
        <f>IF('#1 Trip Dreaming'!N22=0," ",'#1 Trip Dreaming'!N22)</f>
        <v xml:space="preserve"> </v>
      </c>
      <c r="F23" s="182"/>
      <c r="G23" s="182"/>
      <c r="H23" s="182"/>
      <c r="I23" s="182"/>
      <c r="J23" s="182"/>
      <c r="K23" s="182"/>
      <c r="L23" s="183"/>
      <c r="M23" s="3"/>
      <c r="N23" s="3"/>
      <c r="O23" s="3"/>
      <c r="P23" s="3"/>
      <c r="Q23" s="3"/>
      <c r="R23" s="3"/>
      <c r="S23" s="3"/>
      <c r="T23" s="3"/>
      <c r="U23" s="3"/>
      <c r="V23" s="3"/>
      <c r="W23" s="3"/>
      <c r="X23" s="3"/>
      <c r="Y23" s="3"/>
      <c r="Z23" s="3"/>
      <c r="AA23" s="3"/>
      <c r="AB23" s="3"/>
    </row>
    <row r="24" spans="1:28" x14ac:dyDescent="0.35">
      <c r="A24" s="3"/>
      <c r="B24" s="115" t="str">
        <f>'#1 Trip Dreaming'!K23</f>
        <v xml:space="preserve"> </v>
      </c>
      <c r="C24" s="116" t="str">
        <f>'#1 Trip Dreaming'!L23</f>
        <v xml:space="preserve"> </v>
      </c>
      <c r="D24" s="14" t="str">
        <f>'#1 Trip Dreaming'!M23</f>
        <v xml:space="preserve"> </v>
      </c>
      <c r="E24" s="14" t="str">
        <f>IF('#1 Trip Dreaming'!N23=0," ",'#1 Trip Dreaming'!N23)</f>
        <v xml:space="preserve"> </v>
      </c>
      <c r="F24" s="182"/>
      <c r="G24" s="182"/>
      <c r="H24" s="182"/>
      <c r="I24" s="182"/>
      <c r="J24" s="182"/>
      <c r="K24" s="182"/>
      <c r="L24" s="183"/>
      <c r="M24" s="3"/>
      <c r="N24" s="3"/>
      <c r="O24" s="3"/>
      <c r="P24" s="3"/>
      <c r="Q24" s="3"/>
      <c r="R24" s="3"/>
      <c r="S24" s="3"/>
      <c r="T24" s="3"/>
      <c r="U24" s="3"/>
      <c r="V24" s="3"/>
      <c r="W24" s="3"/>
      <c r="X24" s="3"/>
      <c r="Y24" s="3"/>
      <c r="Z24" s="3"/>
      <c r="AA24" s="3"/>
      <c r="AB24" s="3"/>
    </row>
    <row r="25" spans="1:28" x14ac:dyDescent="0.35">
      <c r="A25" s="3"/>
      <c r="B25" s="115" t="str">
        <f>'#1 Trip Dreaming'!K24</f>
        <v xml:space="preserve"> </v>
      </c>
      <c r="C25" s="116" t="str">
        <f>'#1 Trip Dreaming'!L24</f>
        <v xml:space="preserve"> </v>
      </c>
      <c r="D25" s="14" t="str">
        <f>'#1 Trip Dreaming'!M24</f>
        <v xml:space="preserve"> </v>
      </c>
      <c r="E25" s="14" t="str">
        <f>IF('#1 Trip Dreaming'!N24=0," ",'#1 Trip Dreaming'!N24)</f>
        <v xml:space="preserve"> </v>
      </c>
      <c r="F25" s="182"/>
      <c r="G25" s="182"/>
      <c r="H25" s="182"/>
      <c r="I25" s="182"/>
      <c r="J25" s="182"/>
      <c r="K25" s="182"/>
      <c r="L25" s="183"/>
      <c r="M25" s="3"/>
      <c r="N25" s="3"/>
      <c r="O25" s="3"/>
      <c r="P25" s="3"/>
      <c r="Q25" s="3"/>
      <c r="R25" s="3"/>
      <c r="S25" s="3"/>
      <c r="T25" s="3"/>
      <c r="U25" s="3"/>
      <c r="V25" s="3"/>
      <c r="W25" s="3"/>
      <c r="X25" s="3"/>
      <c r="Y25" s="3"/>
      <c r="Z25" s="3"/>
      <c r="AA25" s="3"/>
      <c r="AB25" s="3"/>
    </row>
    <row r="26" spans="1:28" x14ac:dyDescent="0.35">
      <c r="A26" s="3"/>
      <c r="B26" s="115" t="str">
        <f>'#1 Trip Dreaming'!K25</f>
        <v xml:space="preserve"> </v>
      </c>
      <c r="C26" s="116" t="str">
        <f>'#1 Trip Dreaming'!L25</f>
        <v xml:space="preserve"> </v>
      </c>
      <c r="D26" s="14" t="str">
        <f>'#1 Trip Dreaming'!M25</f>
        <v xml:space="preserve"> </v>
      </c>
      <c r="E26" s="14" t="str">
        <f>IF('#1 Trip Dreaming'!N25=0," ",'#1 Trip Dreaming'!N25)</f>
        <v xml:space="preserve"> </v>
      </c>
      <c r="F26" s="182"/>
      <c r="G26" s="182"/>
      <c r="H26" s="182"/>
      <c r="I26" s="182"/>
      <c r="J26" s="182"/>
      <c r="K26" s="182"/>
      <c r="L26" s="183"/>
      <c r="M26" s="3"/>
      <c r="N26" s="3"/>
      <c r="O26" s="3"/>
      <c r="P26" s="3"/>
      <c r="Q26" s="3"/>
      <c r="R26" s="3"/>
      <c r="S26" s="3"/>
      <c r="T26" s="3"/>
      <c r="U26" s="3"/>
      <c r="V26" s="3"/>
      <c r="W26" s="3"/>
      <c r="X26" s="3"/>
      <c r="Y26" s="3"/>
      <c r="Z26" s="3"/>
      <c r="AA26" s="3"/>
      <c r="AB26" s="3"/>
    </row>
    <row r="27" spans="1:28" x14ac:dyDescent="0.35">
      <c r="A27" s="3"/>
      <c r="B27" s="115" t="str">
        <f>'#1 Trip Dreaming'!K26</f>
        <v xml:space="preserve"> </v>
      </c>
      <c r="C27" s="116" t="str">
        <f>'#1 Trip Dreaming'!L26</f>
        <v xml:space="preserve"> </v>
      </c>
      <c r="D27" s="14" t="str">
        <f>'#1 Trip Dreaming'!M26</f>
        <v xml:space="preserve"> </v>
      </c>
      <c r="E27" s="14" t="str">
        <f>IF('#1 Trip Dreaming'!N26=0," ",'#1 Trip Dreaming'!N26)</f>
        <v xml:space="preserve"> </v>
      </c>
      <c r="F27" s="182"/>
      <c r="G27" s="182"/>
      <c r="H27" s="182"/>
      <c r="I27" s="182"/>
      <c r="J27" s="182"/>
      <c r="K27" s="182"/>
      <c r="L27" s="183"/>
      <c r="M27" s="3"/>
      <c r="N27" s="3"/>
      <c r="O27" s="3"/>
      <c r="P27" s="3"/>
      <c r="Q27" s="3"/>
      <c r="R27" s="3"/>
      <c r="S27" s="3"/>
      <c r="T27" s="3"/>
      <c r="U27" s="3"/>
      <c r="V27" s="3"/>
      <c r="W27" s="3"/>
      <c r="X27" s="3"/>
      <c r="Y27" s="3"/>
      <c r="Z27" s="3"/>
      <c r="AA27" s="3"/>
      <c r="AB27" s="3"/>
    </row>
    <row r="28" spans="1:28" x14ac:dyDescent="0.35">
      <c r="A28" s="3"/>
      <c r="B28" s="115" t="str">
        <f>'#1 Trip Dreaming'!K27</f>
        <v xml:space="preserve"> </v>
      </c>
      <c r="C28" s="116" t="str">
        <f>'#1 Trip Dreaming'!L27</f>
        <v xml:space="preserve"> </v>
      </c>
      <c r="D28" s="14" t="str">
        <f>'#1 Trip Dreaming'!M27</f>
        <v xml:space="preserve"> </v>
      </c>
      <c r="E28" s="14" t="str">
        <f>IF('#1 Trip Dreaming'!N27=0," ",'#1 Trip Dreaming'!N27)</f>
        <v xml:space="preserve"> </v>
      </c>
      <c r="F28" s="182"/>
      <c r="G28" s="182"/>
      <c r="H28" s="182"/>
      <c r="I28" s="182"/>
      <c r="J28" s="182"/>
      <c r="K28" s="182"/>
      <c r="L28" s="183"/>
      <c r="M28" s="3"/>
      <c r="N28" s="3"/>
      <c r="O28" s="3"/>
      <c r="P28" s="3"/>
      <c r="Q28" s="3"/>
      <c r="R28" s="3"/>
      <c r="S28" s="3"/>
      <c r="T28" s="3"/>
      <c r="U28" s="3"/>
      <c r="V28" s="3"/>
      <c r="W28" s="3"/>
      <c r="X28" s="3"/>
      <c r="Y28" s="3"/>
      <c r="Z28" s="3"/>
      <c r="AA28" s="3"/>
      <c r="AB28" s="3"/>
    </row>
    <row r="29" spans="1:28" x14ac:dyDescent="0.35">
      <c r="A29" s="3"/>
      <c r="B29" s="115" t="str">
        <f>'#1 Trip Dreaming'!K28</f>
        <v xml:space="preserve"> </v>
      </c>
      <c r="C29" s="116" t="str">
        <f>'#1 Trip Dreaming'!L28</f>
        <v xml:space="preserve"> </v>
      </c>
      <c r="D29" s="14" t="str">
        <f>'#1 Trip Dreaming'!M28</f>
        <v xml:space="preserve"> </v>
      </c>
      <c r="E29" s="14" t="str">
        <f>IF('#1 Trip Dreaming'!N28=0," ",'#1 Trip Dreaming'!N28)</f>
        <v xml:space="preserve"> </v>
      </c>
      <c r="F29" s="182"/>
      <c r="G29" s="182"/>
      <c r="H29" s="182"/>
      <c r="I29" s="182"/>
      <c r="J29" s="182"/>
      <c r="K29" s="182"/>
      <c r="L29" s="183"/>
      <c r="M29" s="3"/>
      <c r="N29" s="3"/>
      <c r="O29" s="3"/>
      <c r="P29" s="3"/>
      <c r="Q29" s="3"/>
      <c r="R29" s="3"/>
      <c r="S29" s="3"/>
      <c r="T29" s="3"/>
      <c r="U29" s="3"/>
      <c r="V29" s="3"/>
      <c r="W29" s="3"/>
      <c r="X29" s="3"/>
      <c r="Y29" s="3"/>
      <c r="Z29" s="3"/>
      <c r="AA29" s="3"/>
      <c r="AB29" s="3"/>
    </row>
    <row r="30" spans="1:28" x14ac:dyDescent="0.35">
      <c r="A30" s="3"/>
      <c r="B30" s="115" t="str">
        <f>'#1 Trip Dreaming'!K29</f>
        <v xml:space="preserve"> </v>
      </c>
      <c r="C30" s="116" t="str">
        <f>'#1 Trip Dreaming'!L29</f>
        <v xml:space="preserve"> </v>
      </c>
      <c r="D30" s="14" t="str">
        <f>'#1 Trip Dreaming'!M29</f>
        <v xml:space="preserve"> </v>
      </c>
      <c r="E30" s="14" t="str">
        <f>IF('#1 Trip Dreaming'!N29=0," ",'#1 Trip Dreaming'!N29)</f>
        <v xml:space="preserve"> </v>
      </c>
      <c r="F30" s="182"/>
      <c r="G30" s="182"/>
      <c r="H30" s="182"/>
      <c r="I30" s="182"/>
      <c r="J30" s="182"/>
      <c r="K30" s="182"/>
      <c r="L30" s="183"/>
      <c r="M30" s="3"/>
      <c r="N30" s="3"/>
      <c r="O30" s="3"/>
      <c r="P30" s="3"/>
      <c r="Q30" s="3"/>
      <c r="R30" s="3"/>
      <c r="S30" s="3"/>
      <c r="T30" s="3"/>
      <c r="U30" s="3"/>
      <c r="V30" s="3"/>
      <c r="W30" s="3"/>
      <c r="X30" s="3"/>
      <c r="Y30" s="3"/>
      <c r="Z30" s="3"/>
      <c r="AA30" s="3"/>
      <c r="AB30" s="3"/>
    </row>
    <row r="31" spans="1:28" ht="15" thickBot="1" x14ac:dyDescent="0.4">
      <c r="A31" s="3"/>
      <c r="B31" s="311" t="str">
        <f>'#1 Trip Dreaming'!K30</f>
        <v xml:space="preserve"> </v>
      </c>
      <c r="C31" s="312" t="str">
        <f>'#1 Trip Dreaming'!L30</f>
        <v xml:space="preserve"> </v>
      </c>
      <c r="D31" s="313" t="str">
        <f>'#1 Trip Dreaming'!M30</f>
        <v xml:space="preserve"> </v>
      </c>
      <c r="E31" s="313" t="str">
        <f>IF('#1 Trip Dreaming'!N30=0," ",'#1 Trip Dreaming'!N30)</f>
        <v xml:space="preserve"> </v>
      </c>
      <c r="F31" s="186"/>
      <c r="G31" s="186"/>
      <c r="H31" s="186"/>
      <c r="I31" s="186"/>
      <c r="J31" s="186"/>
      <c r="K31" s="186"/>
      <c r="L31" s="187"/>
      <c r="M31" s="3"/>
      <c r="N31" s="3"/>
      <c r="O31" s="3"/>
      <c r="P31" s="3"/>
      <c r="Q31" s="3"/>
      <c r="R31" s="3"/>
      <c r="S31" s="3"/>
      <c r="T31" s="3"/>
      <c r="U31" s="3"/>
      <c r="V31" s="3"/>
      <c r="W31" s="3"/>
      <c r="X31" s="3"/>
      <c r="Y31" s="3"/>
      <c r="Z31" s="3"/>
      <c r="AA31" s="3"/>
      <c r="AB31" s="3"/>
    </row>
    <row r="32" spans="1:28" x14ac:dyDescent="0.3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row>
    <row r="33" spans="1:28" x14ac:dyDescent="0.3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row>
  </sheetData>
  <mergeCells count="3">
    <mergeCell ref="B2:D2"/>
    <mergeCell ref="B3:E3"/>
    <mergeCell ref="G3:H3"/>
  </mergeCells>
  <dataValidations count="1">
    <dataValidation type="list" allowBlank="1" showInputMessage="1" showErrorMessage="1" sqref="J7:J18" xr:uid="{5B3851D9-5631-4F24-B39A-5D486B51717A}">
      <formula1>"Yes,No"</formula1>
    </dataValidation>
  </dataValidation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B6239-1729-43BA-8559-B5764A9CDEAF}">
  <sheetPr codeName="Sheet7">
    <tabColor theme="7"/>
  </sheetPr>
  <dimension ref="A1:X37"/>
  <sheetViews>
    <sheetView showGridLines="0" workbookViewId="0">
      <selection activeCell="F13" sqref="F13"/>
    </sheetView>
  </sheetViews>
  <sheetFormatPr defaultRowHeight="14.5" x14ac:dyDescent="0.35"/>
  <cols>
    <col min="2" max="2" width="9.453125" customWidth="1"/>
    <col min="3" max="3" width="15.54296875" customWidth="1"/>
    <col min="4" max="4" width="9.08984375" bestFit="1" customWidth="1"/>
    <col min="5" max="5" width="8.6328125" customWidth="1"/>
    <col min="6" max="7" width="15.453125" customWidth="1"/>
    <col min="8" max="8" width="25.6328125" customWidth="1"/>
    <col min="9" max="9" width="17.36328125" customWidth="1"/>
    <col min="10" max="10" width="15.81640625" customWidth="1"/>
  </cols>
  <sheetData>
    <row r="1" spans="1:24" x14ac:dyDescent="0.35">
      <c r="A1" s="151"/>
      <c r="B1" s="151"/>
      <c r="C1" s="151"/>
      <c r="D1" s="151"/>
      <c r="E1" s="151"/>
      <c r="F1" s="151"/>
      <c r="G1" s="151"/>
      <c r="H1" s="151"/>
      <c r="I1" s="151"/>
      <c r="J1" s="151"/>
      <c r="K1" s="151"/>
      <c r="L1" s="151"/>
      <c r="M1" s="151"/>
      <c r="N1" s="151"/>
      <c r="O1" s="151"/>
      <c r="P1" s="151"/>
      <c r="Q1" s="151"/>
      <c r="R1" s="151"/>
      <c r="S1" s="151"/>
      <c r="T1" s="151"/>
      <c r="U1" s="151"/>
      <c r="V1" s="151"/>
      <c r="W1" s="151"/>
      <c r="X1" s="151"/>
    </row>
    <row r="2" spans="1:24" ht="21.5" thickBot="1" x14ac:dyDescent="0.55000000000000004">
      <c r="A2" s="151"/>
      <c r="B2" s="274" t="s">
        <v>1</v>
      </c>
      <c r="C2" s="274"/>
      <c r="D2" s="274"/>
      <c r="E2" s="274"/>
      <c r="F2" s="274"/>
      <c r="G2" s="151"/>
      <c r="H2" s="275" t="s">
        <v>88</v>
      </c>
      <c r="I2" s="275"/>
      <c r="J2" s="151"/>
      <c r="K2" s="151"/>
      <c r="L2" s="151"/>
      <c r="M2" s="151"/>
      <c r="N2" s="151"/>
      <c r="O2" s="151"/>
      <c r="P2" s="151"/>
      <c r="Q2" s="151"/>
      <c r="R2" s="151"/>
      <c r="S2" s="151"/>
      <c r="T2" s="151"/>
      <c r="U2" s="151"/>
      <c r="V2" s="151"/>
      <c r="W2" s="151"/>
      <c r="X2" s="151"/>
    </row>
    <row r="3" spans="1:24" ht="14.65" customHeight="1" thickBot="1" x14ac:dyDescent="0.4">
      <c r="A3" s="151"/>
      <c r="B3" s="278" t="s">
        <v>95</v>
      </c>
      <c r="C3" s="278"/>
      <c r="D3" s="278"/>
      <c r="E3" s="278"/>
      <c r="F3" s="278"/>
      <c r="G3" s="151"/>
      <c r="H3" s="276">
        <f>SUM(G7:G32)</f>
        <v>1560</v>
      </c>
      <c r="I3" s="277"/>
      <c r="J3" s="151"/>
      <c r="K3" s="151"/>
      <c r="L3" s="151"/>
      <c r="M3" s="151"/>
      <c r="N3" s="151"/>
      <c r="O3" s="151"/>
      <c r="P3" s="151"/>
      <c r="Q3" s="151"/>
      <c r="R3" s="151"/>
      <c r="S3" s="151"/>
      <c r="T3" s="151"/>
      <c r="U3" s="151"/>
      <c r="V3" s="151"/>
      <c r="W3" s="151"/>
      <c r="X3" s="151"/>
    </row>
    <row r="4" spans="1:24" x14ac:dyDescent="0.35">
      <c r="A4" s="151"/>
      <c r="B4" s="278"/>
      <c r="C4" s="278"/>
      <c r="D4" s="278"/>
      <c r="E4" s="278"/>
      <c r="F4" s="278"/>
      <c r="G4" s="151"/>
      <c r="H4" s="151"/>
      <c r="I4" s="151"/>
      <c r="J4" s="151"/>
      <c r="K4" s="151"/>
      <c r="L4" s="151"/>
      <c r="M4" s="151"/>
      <c r="N4" s="151"/>
      <c r="O4" s="151"/>
      <c r="P4" s="151"/>
      <c r="Q4" s="151"/>
      <c r="R4" s="151"/>
      <c r="S4" s="151"/>
      <c r="T4" s="151"/>
      <c r="U4" s="151"/>
      <c r="V4" s="151"/>
      <c r="W4" s="151"/>
      <c r="X4" s="151"/>
    </row>
    <row r="5" spans="1:24" ht="15" thickBot="1" x14ac:dyDescent="0.4">
      <c r="A5" s="151"/>
      <c r="B5" s="195"/>
      <c r="C5" s="195"/>
      <c r="D5" s="195"/>
      <c r="E5" s="195"/>
      <c r="F5" s="195"/>
      <c r="G5" s="151"/>
      <c r="H5" s="151"/>
      <c r="I5" s="151"/>
      <c r="J5" s="151"/>
      <c r="K5" s="151"/>
      <c r="L5" s="151"/>
      <c r="M5" s="151"/>
      <c r="N5" s="151"/>
      <c r="O5" s="151"/>
      <c r="P5" s="151"/>
      <c r="Q5" s="151"/>
      <c r="R5" s="151"/>
      <c r="S5" s="151"/>
      <c r="T5" s="151"/>
      <c r="U5" s="151"/>
      <c r="V5" s="151"/>
      <c r="W5" s="151"/>
      <c r="X5" s="151"/>
    </row>
    <row r="6" spans="1:24" ht="15" thickBot="1" x14ac:dyDescent="0.4">
      <c r="A6" s="151"/>
      <c r="B6" s="152" t="s">
        <v>33</v>
      </c>
      <c r="C6" s="153" t="s">
        <v>68</v>
      </c>
      <c r="D6" s="153" t="s">
        <v>69</v>
      </c>
      <c r="E6" s="153" t="s">
        <v>72</v>
      </c>
      <c r="F6" s="153" t="s">
        <v>73</v>
      </c>
      <c r="G6" s="154" t="s">
        <v>84</v>
      </c>
      <c r="H6" s="154" t="s">
        <v>85</v>
      </c>
      <c r="I6" s="153" t="s">
        <v>76</v>
      </c>
      <c r="J6" s="154" t="s">
        <v>77</v>
      </c>
      <c r="K6" s="151"/>
      <c r="L6" s="151"/>
      <c r="M6" s="151"/>
      <c r="N6" s="151"/>
      <c r="O6" s="151"/>
      <c r="P6" s="151"/>
      <c r="Q6" s="151"/>
      <c r="R6" s="151"/>
      <c r="S6" s="151"/>
      <c r="T6" s="151"/>
      <c r="U6" s="151"/>
      <c r="V6" s="151"/>
      <c r="W6" s="151"/>
      <c r="X6" s="151"/>
    </row>
    <row r="7" spans="1:24" x14ac:dyDescent="0.35">
      <c r="A7" s="151"/>
      <c r="B7" s="224">
        <v>45070</v>
      </c>
      <c r="C7" s="179" t="s">
        <v>71</v>
      </c>
      <c r="D7" s="179" t="s">
        <v>162</v>
      </c>
      <c r="E7" s="179" t="s">
        <v>74</v>
      </c>
      <c r="F7" s="179" t="s">
        <v>75</v>
      </c>
      <c r="G7" s="225">
        <v>1430</v>
      </c>
      <c r="H7" s="179" t="s">
        <v>168</v>
      </c>
      <c r="I7" s="179"/>
      <c r="J7" s="180"/>
      <c r="K7" s="151"/>
      <c r="L7" s="151"/>
      <c r="M7" s="151"/>
      <c r="N7" s="151"/>
      <c r="O7" s="151"/>
      <c r="P7" s="151"/>
      <c r="Q7" s="151"/>
      <c r="R7" s="151"/>
      <c r="S7" s="151"/>
      <c r="T7" s="151"/>
      <c r="U7" s="151"/>
      <c r="V7" s="151"/>
      <c r="W7" s="151"/>
      <c r="X7" s="151"/>
    </row>
    <row r="8" spans="1:24" x14ac:dyDescent="0.35">
      <c r="A8" s="151"/>
      <c r="B8" s="224">
        <v>45073</v>
      </c>
      <c r="C8" s="179" t="s">
        <v>162</v>
      </c>
      <c r="D8" s="179" t="s">
        <v>166</v>
      </c>
      <c r="E8" s="179" t="s">
        <v>74</v>
      </c>
      <c r="F8" s="179" t="s">
        <v>167</v>
      </c>
      <c r="G8" s="226">
        <v>130</v>
      </c>
      <c r="H8" s="182" t="s">
        <v>86</v>
      </c>
      <c r="I8" s="182"/>
      <c r="J8" s="183"/>
      <c r="K8" s="151"/>
      <c r="L8" s="151"/>
      <c r="M8" s="151"/>
      <c r="N8" s="151"/>
      <c r="O8" s="151"/>
      <c r="P8" s="151"/>
      <c r="Q8" s="151"/>
      <c r="R8" s="151"/>
      <c r="S8" s="151"/>
      <c r="T8" s="151"/>
      <c r="U8" s="151"/>
      <c r="V8" s="151"/>
      <c r="W8" s="151"/>
      <c r="X8" s="151"/>
    </row>
    <row r="9" spans="1:24" x14ac:dyDescent="0.35">
      <c r="A9" s="151"/>
      <c r="B9" s="224"/>
      <c r="C9" s="179"/>
      <c r="D9" s="179"/>
      <c r="E9" s="179"/>
      <c r="F9" s="179"/>
      <c r="G9" s="226"/>
      <c r="H9" s="182"/>
      <c r="I9" s="182"/>
      <c r="J9" s="183"/>
      <c r="K9" s="151"/>
      <c r="L9" s="151"/>
      <c r="M9" s="151"/>
      <c r="N9" s="151"/>
      <c r="O9" s="151"/>
      <c r="P9" s="151"/>
      <c r="Q9" s="151"/>
      <c r="R9" s="151"/>
      <c r="S9" s="151"/>
      <c r="T9" s="151"/>
      <c r="U9" s="151"/>
      <c r="V9" s="151"/>
      <c r="W9" s="151"/>
      <c r="X9" s="151"/>
    </row>
    <row r="10" spans="1:24" x14ac:dyDescent="0.35">
      <c r="A10" s="151"/>
      <c r="B10" s="224"/>
      <c r="C10" s="179"/>
      <c r="D10" s="179"/>
      <c r="E10" s="179"/>
      <c r="F10" s="179"/>
      <c r="G10" s="226"/>
      <c r="H10" s="182"/>
      <c r="I10" s="182"/>
      <c r="J10" s="183"/>
      <c r="K10" s="151"/>
      <c r="L10" s="151"/>
      <c r="M10" s="151"/>
      <c r="N10" s="151"/>
      <c r="O10" s="151"/>
      <c r="P10" s="151"/>
      <c r="Q10" s="151"/>
      <c r="R10" s="151"/>
      <c r="S10" s="151"/>
      <c r="T10" s="151"/>
      <c r="U10" s="151"/>
      <c r="V10" s="151"/>
      <c r="W10" s="151"/>
      <c r="X10" s="151"/>
    </row>
    <row r="11" spans="1:24" x14ac:dyDescent="0.35">
      <c r="A11" s="151"/>
      <c r="B11" s="224"/>
      <c r="C11" s="179"/>
      <c r="D11" s="179"/>
      <c r="E11" s="179"/>
      <c r="F11" s="179"/>
      <c r="G11" s="226"/>
      <c r="H11" s="182"/>
      <c r="I11" s="182"/>
      <c r="J11" s="183"/>
      <c r="K11" s="151"/>
      <c r="L11" s="151"/>
      <c r="M11" s="151"/>
      <c r="N11" s="151"/>
      <c r="O11" s="151"/>
      <c r="P11" s="151"/>
      <c r="Q11" s="151"/>
      <c r="R11" s="151"/>
      <c r="S11" s="151"/>
      <c r="T11" s="151"/>
      <c r="U11" s="151"/>
      <c r="V11" s="151"/>
      <c r="W11" s="151"/>
      <c r="X11" s="151"/>
    </row>
    <row r="12" spans="1:24" x14ac:dyDescent="0.35">
      <c r="A12" s="151"/>
      <c r="B12" s="224"/>
      <c r="C12" s="179"/>
      <c r="D12" s="179"/>
      <c r="E12" s="179"/>
      <c r="F12" s="179"/>
      <c r="G12" s="226"/>
      <c r="H12" s="182"/>
      <c r="I12" s="182"/>
      <c r="J12" s="183"/>
      <c r="K12" s="151"/>
      <c r="L12" s="151"/>
      <c r="M12" s="151"/>
      <c r="N12" s="151"/>
      <c r="O12" s="151"/>
      <c r="P12" s="151"/>
      <c r="Q12" s="151"/>
      <c r="R12" s="151"/>
      <c r="S12" s="151"/>
      <c r="T12" s="151"/>
      <c r="U12" s="151"/>
      <c r="V12" s="151"/>
      <c r="W12" s="151"/>
      <c r="X12" s="151"/>
    </row>
    <row r="13" spans="1:24" x14ac:dyDescent="0.35">
      <c r="A13" s="151"/>
      <c r="B13" s="224"/>
      <c r="C13" s="179"/>
      <c r="D13" s="179"/>
      <c r="E13" s="179"/>
      <c r="F13" s="179"/>
      <c r="G13" s="226"/>
      <c r="H13" s="182"/>
      <c r="I13" s="182"/>
      <c r="J13" s="183"/>
      <c r="K13" s="151"/>
      <c r="L13" s="151"/>
      <c r="M13" s="151"/>
      <c r="N13" s="151"/>
      <c r="O13" s="151"/>
      <c r="P13" s="151"/>
      <c r="Q13" s="151"/>
      <c r="R13" s="151"/>
      <c r="S13" s="151"/>
      <c r="T13" s="151"/>
      <c r="U13" s="151"/>
      <c r="V13" s="151"/>
      <c r="W13" s="151"/>
      <c r="X13" s="151"/>
    </row>
    <row r="14" spans="1:24" x14ac:dyDescent="0.35">
      <c r="A14" s="151"/>
      <c r="B14" s="224"/>
      <c r="C14" s="179"/>
      <c r="D14" s="179"/>
      <c r="E14" s="179"/>
      <c r="F14" s="179"/>
      <c r="G14" s="226"/>
      <c r="H14" s="182"/>
      <c r="I14" s="182"/>
      <c r="J14" s="183"/>
      <c r="K14" s="151"/>
      <c r="L14" s="151"/>
      <c r="M14" s="151"/>
      <c r="N14" s="151"/>
      <c r="O14" s="151"/>
      <c r="P14" s="151"/>
      <c r="Q14" s="151"/>
      <c r="R14" s="151"/>
      <c r="S14" s="151"/>
      <c r="T14" s="151"/>
      <c r="U14" s="151"/>
      <c r="V14" s="151"/>
      <c r="W14" s="151"/>
      <c r="X14" s="151"/>
    </row>
    <row r="15" spans="1:24" x14ac:dyDescent="0.35">
      <c r="A15" s="151"/>
      <c r="B15" s="224"/>
      <c r="C15" s="179"/>
      <c r="D15" s="179"/>
      <c r="E15" s="179"/>
      <c r="F15" s="179"/>
      <c r="G15" s="226"/>
      <c r="H15" s="182"/>
      <c r="I15" s="182"/>
      <c r="J15" s="183"/>
      <c r="K15" s="151"/>
      <c r="L15" s="151"/>
      <c r="M15" s="151"/>
      <c r="N15" s="151"/>
      <c r="O15" s="151"/>
      <c r="P15" s="151"/>
      <c r="Q15" s="151"/>
      <c r="R15" s="151"/>
      <c r="S15" s="151"/>
      <c r="T15" s="151"/>
      <c r="U15" s="151"/>
      <c r="V15" s="151"/>
      <c r="W15" s="151"/>
      <c r="X15" s="151"/>
    </row>
    <row r="16" spans="1:24" x14ac:dyDescent="0.35">
      <c r="A16" s="151"/>
      <c r="B16" s="224"/>
      <c r="C16" s="179"/>
      <c r="D16" s="179"/>
      <c r="E16" s="179"/>
      <c r="F16" s="179"/>
      <c r="G16" s="226"/>
      <c r="H16" s="182"/>
      <c r="I16" s="182"/>
      <c r="J16" s="183"/>
      <c r="K16" s="151"/>
      <c r="L16" s="151"/>
      <c r="M16" s="151"/>
      <c r="N16" s="151"/>
      <c r="O16" s="151"/>
      <c r="P16" s="151"/>
      <c r="Q16" s="151"/>
      <c r="R16" s="151"/>
      <c r="S16" s="151"/>
      <c r="T16" s="151"/>
      <c r="U16" s="151"/>
      <c r="V16" s="151"/>
      <c r="W16" s="151"/>
      <c r="X16" s="151"/>
    </row>
    <row r="17" spans="1:24" x14ac:dyDescent="0.35">
      <c r="A17" s="151"/>
      <c r="B17" s="224"/>
      <c r="C17" s="179"/>
      <c r="D17" s="179"/>
      <c r="E17" s="179"/>
      <c r="F17" s="179"/>
      <c r="G17" s="226"/>
      <c r="H17" s="182"/>
      <c r="I17" s="182"/>
      <c r="J17" s="183"/>
      <c r="K17" s="151"/>
      <c r="L17" s="151"/>
      <c r="M17" s="151"/>
      <c r="N17" s="151"/>
      <c r="O17" s="151"/>
      <c r="P17" s="151"/>
      <c r="Q17" s="151"/>
      <c r="R17" s="151"/>
      <c r="S17" s="151"/>
      <c r="T17" s="151"/>
      <c r="U17" s="151"/>
      <c r="V17" s="151"/>
      <c r="W17" s="151"/>
      <c r="X17" s="151"/>
    </row>
    <row r="18" spans="1:24" x14ac:dyDescent="0.35">
      <c r="A18" s="151"/>
      <c r="B18" s="224"/>
      <c r="C18" s="179"/>
      <c r="D18" s="179"/>
      <c r="E18" s="179"/>
      <c r="F18" s="179"/>
      <c r="G18" s="226"/>
      <c r="H18" s="182"/>
      <c r="I18" s="182"/>
      <c r="J18" s="183"/>
      <c r="K18" s="151"/>
      <c r="L18" s="151"/>
      <c r="M18" s="151"/>
      <c r="N18" s="151"/>
      <c r="O18" s="151"/>
      <c r="P18" s="151"/>
      <c r="Q18" s="151"/>
      <c r="R18" s="151"/>
      <c r="S18" s="151"/>
      <c r="T18" s="151"/>
      <c r="U18" s="151"/>
      <c r="V18" s="151"/>
      <c r="W18" s="151"/>
      <c r="X18" s="151"/>
    </row>
    <row r="19" spans="1:24" x14ac:dyDescent="0.35">
      <c r="A19" s="151"/>
      <c r="B19" s="224"/>
      <c r="C19" s="179"/>
      <c r="D19" s="179"/>
      <c r="E19" s="227"/>
      <c r="F19" s="227"/>
      <c r="G19" s="228"/>
      <c r="H19" s="182"/>
      <c r="I19" s="182"/>
      <c r="J19" s="183"/>
      <c r="K19" s="151"/>
      <c r="L19" s="151"/>
      <c r="M19" s="151"/>
      <c r="N19" s="151"/>
      <c r="O19" s="151"/>
      <c r="P19" s="151"/>
      <c r="Q19" s="151"/>
      <c r="R19" s="151"/>
      <c r="S19" s="151"/>
      <c r="T19" s="151"/>
      <c r="U19" s="151"/>
      <c r="V19" s="151"/>
      <c r="W19" s="151"/>
      <c r="X19" s="151"/>
    </row>
    <row r="20" spans="1:24" x14ac:dyDescent="0.35">
      <c r="A20" s="151"/>
      <c r="B20" s="224"/>
      <c r="C20" s="179"/>
      <c r="D20" s="179"/>
      <c r="E20" s="227"/>
      <c r="F20" s="227"/>
      <c r="G20" s="228"/>
      <c r="H20" s="182"/>
      <c r="I20" s="182"/>
      <c r="J20" s="183"/>
      <c r="K20" s="151"/>
      <c r="L20" s="151"/>
      <c r="M20" s="151"/>
      <c r="N20" s="151"/>
      <c r="O20" s="151"/>
      <c r="P20" s="151"/>
      <c r="Q20" s="151"/>
      <c r="R20" s="151"/>
      <c r="S20" s="151"/>
      <c r="T20" s="151"/>
      <c r="U20" s="151"/>
      <c r="V20" s="151"/>
      <c r="W20" s="151"/>
      <c r="X20" s="151"/>
    </row>
    <row r="21" spans="1:24" x14ac:dyDescent="0.35">
      <c r="A21" s="151"/>
      <c r="B21" s="224"/>
      <c r="C21" s="179"/>
      <c r="D21" s="179"/>
      <c r="E21" s="179"/>
      <c r="F21" s="179"/>
      <c r="G21" s="226"/>
      <c r="H21" s="182"/>
      <c r="I21" s="182"/>
      <c r="J21" s="183"/>
      <c r="K21" s="151"/>
      <c r="L21" s="151"/>
      <c r="M21" s="151"/>
      <c r="N21" s="151"/>
      <c r="O21" s="151"/>
      <c r="P21" s="151"/>
      <c r="Q21" s="151"/>
      <c r="R21" s="151"/>
      <c r="S21" s="151"/>
      <c r="T21" s="151"/>
      <c r="U21" s="151"/>
      <c r="V21" s="151"/>
      <c r="W21" s="151"/>
      <c r="X21" s="151"/>
    </row>
    <row r="22" spans="1:24" x14ac:dyDescent="0.35">
      <c r="A22" s="151"/>
      <c r="B22" s="224"/>
      <c r="C22" s="179"/>
      <c r="D22" s="179"/>
      <c r="E22" s="179"/>
      <c r="F22" s="179"/>
      <c r="G22" s="226"/>
      <c r="H22" s="182"/>
      <c r="I22" s="182"/>
      <c r="J22" s="183"/>
      <c r="K22" s="151"/>
      <c r="L22" s="151"/>
      <c r="M22" s="151"/>
      <c r="N22" s="151"/>
      <c r="O22" s="151"/>
      <c r="P22" s="151"/>
      <c r="Q22" s="151"/>
      <c r="R22" s="151"/>
      <c r="S22" s="151"/>
      <c r="T22" s="151"/>
      <c r="U22" s="151"/>
      <c r="V22" s="151"/>
      <c r="W22" s="151"/>
      <c r="X22" s="151"/>
    </row>
    <row r="23" spans="1:24" x14ac:dyDescent="0.35">
      <c r="A23" s="151"/>
      <c r="B23" s="224"/>
      <c r="C23" s="179"/>
      <c r="D23" s="179"/>
      <c r="E23" s="179"/>
      <c r="F23" s="179"/>
      <c r="G23" s="226"/>
      <c r="H23" s="182"/>
      <c r="I23" s="182"/>
      <c r="J23" s="183"/>
      <c r="K23" s="151"/>
      <c r="L23" s="151"/>
      <c r="M23" s="151"/>
      <c r="N23" s="151"/>
      <c r="O23" s="151"/>
      <c r="P23" s="151"/>
      <c r="Q23" s="151"/>
      <c r="R23" s="151"/>
      <c r="S23" s="151"/>
      <c r="T23" s="151"/>
      <c r="U23" s="151"/>
      <c r="V23" s="151"/>
      <c r="W23" s="151"/>
      <c r="X23" s="151"/>
    </row>
    <row r="24" spans="1:24" x14ac:dyDescent="0.35">
      <c r="A24" s="151"/>
      <c r="B24" s="224"/>
      <c r="C24" s="179"/>
      <c r="D24" s="179"/>
      <c r="E24" s="179"/>
      <c r="F24" s="179"/>
      <c r="G24" s="226"/>
      <c r="H24" s="182"/>
      <c r="I24" s="182"/>
      <c r="J24" s="183"/>
      <c r="K24" s="151"/>
      <c r="L24" s="151"/>
      <c r="M24" s="151"/>
      <c r="N24" s="151"/>
      <c r="O24" s="151"/>
      <c r="P24" s="151"/>
      <c r="Q24" s="151"/>
      <c r="R24" s="151"/>
      <c r="S24" s="151"/>
      <c r="T24" s="151"/>
      <c r="U24" s="151"/>
      <c r="V24" s="151"/>
      <c r="W24" s="151"/>
      <c r="X24" s="151"/>
    </row>
    <row r="25" spans="1:24" x14ac:dyDescent="0.35">
      <c r="A25" s="151"/>
      <c r="B25" s="224"/>
      <c r="C25" s="179"/>
      <c r="D25" s="179"/>
      <c r="E25" s="179"/>
      <c r="F25" s="179"/>
      <c r="G25" s="226"/>
      <c r="H25" s="182"/>
      <c r="I25" s="182"/>
      <c r="J25" s="183"/>
      <c r="K25" s="151"/>
      <c r="L25" s="151"/>
      <c r="M25" s="151"/>
      <c r="N25" s="151"/>
      <c r="O25" s="151"/>
      <c r="P25" s="151"/>
      <c r="Q25" s="151"/>
      <c r="R25" s="151"/>
      <c r="S25" s="151"/>
      <c r="T25" s="151"/>
      <c r="U25" s="151"/>
      <c r="V25" s="151"/>
      <c r="W25" s="151"/>
      <c r="X25" s="151"/>
    </row>
    <row r="26" spans="1:24" x14ac:dyDescent="0.35">
      <c r="A26" s="151"/>
      <c r="B26" s="224"/>
      <c r="C26" s="179"/>
      <c r="D26" s="179"/>
      <c r="E26" s="179"/>
      <c r="F26" s="179"/>
      <c r="G26" s="226"/>
      <c r="H26" s="182"/>
      <c r="I26" s="182"/>
      <c r="J26" s="183"/>
      <c r="K26" s="151"/>
      <c r="L26" s="151"/>
      <c r="M26" s="151"/>
      <c r="N26" s="151"/>
      <c r="O26" s="151"/>
      <c r="P26" s="151"/>
      <c r="Q26" s="151"/>
      <c r="R26" s="151"/>
      <c r="S26" s="151"/>
      <c r="T26" s="151"/>
      <c r="U26" s="151"/>
      <c r="V26" s="151"/>
      <c r="W26" s="151"/>
      <c r="X26" s="151"/>
    </row>
    <row r="27" spans="1:24" x14ac:dyDescent="0.35">
      <c r="A27" s="151"/>
      <c r="B27" s="224"/>
      <c r="C27" s="179"/>
      <c r="D27" s="179"/>
      <c r="E27" s="179"/>
      <c r="F27" s="179"/>
      <c r="G27" s="226"/>
      <c r="H27" s="182"/>
      <c r="I27" s="182"/>
      <c r="J27" s="183"/>
      <c r="K27" s="151"/>
      <c r="L27" s="151"/>
      <c r="M27" s="151"/>
      <c r="N27" s="151"/>
      <c r="O27" s="151"/>
      <c r="P27" s="151"/>
      <c r="Q27" s="151"/>
      <c r="R27" s="151"/>
      <c r="S27" s="151"/>
      <c r="T27" s="151"/>
      <c r="U27" s="151"/>
      <c r="V27" s="151"/>
      <c r="W27" s="151"/>
      <c r="X27" s="151"/>
    </row>
    <row r="28" spans="1:24" x14ac:dyDescent="0.35">
      <c r="A28" s="151"/>
      <c r="B28" s="224"/>
      <c r="C28" s="179"/>
      <c r="D28" s="179"/>
      <c r="E28" s="179"/>
      <c r="F28" s="179"/>
      <c r="G28" s="226"/>
      <c r="H28" s="182"/>
      <c r="I28" s="182"/>
      <c r="J28" s="183"/>
      <c r="K28" s="151"/>
      <c r="L28" s="151"/>
      <c r="M28" s="151"/>
      <c r="N28" s="151"/>
      <c r="O28" s="151"/>
      <c r="P28" s="151"/>
      <c r="Q28" s="151"/>
      <c r="R28" s="151"/>
      <c r="S28" s="151"/>
      <c r="T28" s="151"/>
      <c r="U28" s="151"/>
      <c r="V28" s="151"/>
      <c r="W28" s="151"/>
      <c r="X28" s="151"/>
    </row>
    <row r="29" spans="1:24" x14ac:dyDescent="0.35">
      <c r="A29" s="151"/>
      <c r="B29" s="224"/>
      <c r="C29" s="179"/>
      <c r="D29" s="179"/>
      <c r="E29" s="179"/>
      <c r="F29" s="179"/>
      <c r="G29" s="226"/>
      <c r="H29" s="182"/>
      <c r="I29" s="182"/>
      <c r="J29" s="183"/>
      <c r="K29" s="151"/>
      <c r="L29" s="151"/>
      <c r="M29" s="151"/>
      <c r="N29" s="151"/>
      <c r="O29" s="151"/>
      <c r="P29" s="151"/>
      <c r="Q29" s="151"/>
      <c r="R29" s="151"/>
      <c r="S29" s="151"/>
      <c r="T29" s="151"/>
      <c r="U29" s="151"/>
      <c r="V29" s="151"/>
      <c r="W29" s="151"/>
      <c r="X29" s="151"/>
    </row>
    <row r="30" spans="1:24" x14ac:dyDescent="0.35">
      <c r="A30" s="151"/>
      <c r="B30" s="224"/>
      <c r="C30" s="179"/>
      <c r="D30" s="179"/>
      <c r="E30" s="179"/>
      <c r="F30" s="179"/>
      <c r="G30" s="226"/>
      <c r="H30" s="182"/>
      <c r="I30" s="182"/>
      <c r="J30" s="183"/>
      <c r="K30" s="151"/>
      <c r="L30" s="151"/>
      <c r="M30" s="151"/>
      <c r="N30" s="151"/>
      <c r="O30" s="151"/>
      <c r="P30" s="151"/>
      <c r="Q30" s="151"/>
      <c r="R30" s="151"/>
      <c r="S30" s="151"/>
      <c r="T30" s="151"/>
      <c r="U30" s="151"/>
      <c r="V30" s="151"/>
      <c r="W30" s="151"/>
      <c r="X30" s="151"/>
    </row>
    <row r="31" spans="1:24" x14ac:dyDescent="0.35">
      <c r="A31" s="151"/>
      <c r="B31" s="224"/>
      <c r="C31" s="179"/>
      <c r="D31" s="179"/>
      <c r="E31" s="179"/>
      <c r="F31" s="179"/>
      <c r="G31" s="226"/>
      <c r="H31" s="182"/>
      <c r="I31" s="182"/>
      <c r="J31" s="183"/>
      <c r="K31" s="151"/>
      <c r="L31" s="151"/>
      <c r="M31" s="151"/>
      <c r="N31" s="151"/>
      <c r="O31" s="151"/>
      <c r="P31" s="151"/>
      <c r="Q31" s="151"/>
      <c r="R31" s="151"/>
      <c r="S31" s="151"/>
      <c r="T31" s="151"/>
      <c r="U31" s="151"/>
      <c r="V31" s="151"/>
      <c r="W31" s="151"/>
      <c r="X31" s="151"/>
    </row>
    <row r="32" spans="1:24" ht="15" thickBot="1" x14ac:dyDescent="0.4">
      <c r="A32" s="151"/>
      <c r="B32" s="229"/>
      <c r="C32" s="230"/>
      <c r="D32" s="230"/>
      <c r="E32" s="230"/>
      <c r="F32" s="230"/>
      <c r="G32" s="231"/>
      <c r="H32" s="186"/>
      <c r="I32" s="186"/>
      <c r="J32" s="187"/>
      <c r="K32" s="151"/>
      <c r="L32" s="151"/>
      <c r="M32" s="151"/>
      <c r="N32" s="151"/>
      <c r="O32" s="151"/>
      <c r="P32" s="151"/>
      <c r="Q32" s="151"/>
      <c r="R32" s="151"/>
      <c r="S32" s="151"/>
      <c r="T32" s="151"/>
      <c r="U32" s="151"/>
      <c r="V32" s="151"/>
      <c r="W32" s="151"/>
      <c r="X32" s="151"/>
    </row>
    <row r="33" spans="1:24" x14ac:dyDescent="0.35">
      <c r="A33" s="151"/>
      <c r="B33" s="151"/>
      <c r="C33" s="151"/>
      <c r="D33" s="151"/>
      <c r="E33" s="151"/>
      <c r="F33" s="151"/>
      <c r="G33" s="151"/>
      <c r="H33" s="151"/>
      <c r="I33" s="151"/>
      <c r="J33" s="151"/>
      <c r="K33" s="151"/>
      <c r="L33" s="151"/>
      <c r="M33" s="151"/>
      <c r="N33" s="151"/>
      <c r="O33" s="151"/>
      <c r="P33" s="151"/>
      <c r="Q33" s="151"/>
      <c r="R33" s="151"/>
      <c r="S33" s="151"/>
      <c r="T33" s="151"/>
      <c r="U33" s="151"/>
      <c r="V33" s="151"/>
      <c r="W33" s="151"/>
      <c r="X33" s="151"/>
    </row>
    <row r="34" spans="1:24" x14ac:dyDescent="0.35">
      <c r="A34" s="151"/>
      <c r="B34" s="151"/>
      <c r="C34" s="151"/>
      <c r="D34" s="151"/>
      <c r="E34" s="151"/>
      <c r="F34" s="151"/>
      <c r="G34" s="151"/>
      <c r="H34" s="151"/>
      <c r="I34" s="151"/>
      <c r="J34" s="151"/>
      <c r="K34" s="151"/>
      <c r="L34" s="151"/>
      <c r="M34" s="151"/>
      <c r="N34" s="151"/>
      <c r="O34" s="151"/>
      <c r="P34" s="151"/>
      <c r="Q34" s="151"/>
      <c r="R34" s="151"/>
      <c r="S34" s="151"/>
      <c r="T34" s="151"/>
      <c r="U34" s="151"/>
      <c r="V34" s="151"/>
      <c r="W34" s="151"/>
      <c r="X34" s="151"/>
    </row>
    <row r="35" spans="1:24" x14ac:dyDescent="0.35">
      <c r="A35" s="151"/>
      <c r="B35" s="151"/>
      <c r="C35" s="151"/>
      <c r="D35" s="151"/>
      <c r="E35" s="151"/>
      <c r="F35" s="151"/>
      <c r="G35" s="151"/>
      <c r="H35" s="151"/>
      <c r="I35" s="151"/>
      <c r="J35" s="151"/>
      <c r="K35" s="151"/>
      <c r="L35" s="151"/>
      <c r="M35" s="151"/>
      <c r="N35" s="151"/>
      <c r="O35" s="151"/>
      <c r="P35" s="151"/>
      <c r="Q35" s="151"/>
      <c r="R35" s="151"/>
      <c r="S35" s="151"/>
      <c r="T35" s="151"/>
      <c r="U35" s="151"/>
      <c r="V35" s="151"/>
      <c r="W35" s="151"/>
      <c r="X35" s="151"/>
    </row>
    <row r="36" spans="1:24" x14ac:dyDescent="0.35">
      <c r="A36" s="151"/>
      <c r="B36" s="151"/>
      <c r="C36" s="151"/>
      <c r="D36" s="151"/>
      <c r="E36" s="151"/>
      <c r="F36" s="151"/>
      <c r="G36" s="151"/>
      <c r="H36" s="151"/>
      <c r="I36" s="151"/>
      <c r="J36" s="151"/>
      <c r="K36" s="151"/>
      <c r="L36" s="151"/>
      <c r="M36" s="151"/>
      <c r="N36" s="151"/>
      <c r="O36" s="151"/>
      <c r="P36" s="151"/>
      <c r="Q36" s="151"/>
      <c r="R36" s="151"/>
      <c r="S36" s="151"/>
      <c r="T36" s="151"/>
      <c r="U36" s="151"/>
      <c r="V36" s="151"/>
      <c r="W36" s="151"/>
      <c r="X36" s="151"/>
    </row>
    <row r="37" spans="1:24" x14ac:dyDescent="0.35">
      <c r="A37" s="151"/>
      <c r="B37" s="151"/>
      <c r="C37" s="151"/>
      <c r="D37" s="151"/>
      <c r="E37" s="151"/>
      <c r="F37" s="151"/>
      <c r="G37" s="151"/>
      <c r="H37" s="151"/>
      <c r="I37" s="151"/>
      <c r="J37" s="151"/>
      <c r="K37" s="151"/>
      <c r="L37" s="151"/>
      <c r="M37" s="151"/>
      <c r="N37" s="151"/>
      <c r="O37" s="151"/>
      <c r="P37" s="151"/>
      <c r="Q37" s="151"/>
      <c r="R37" s="151"/>
      <c r="S37" s="151"/>
      <c r="T37" s="151"/>
      <c r="U37" s="151"/>
      <c r="V37" s="151"/>
      <c r="W37" s="151"/>
      <c r="X37" s="151"/>
    </row>
  </sheetData>
  <sheetProtection algorithmName="SHA-512" hashValue="7ZEK6Ij4Pu5n8bQNzulGjyYnUvNCsM+l9+DFH83K/Xp0UbJTzS+2WXx16W42oIfOfVY3DSMt8V+UYGWViN68+g==" saltValue="NcoXGxv+wcRZg9U/xt3fMg==" spinCount="100000" sheet="1" objects="1" scenarios="1"/>
  <mergeCells count="4">
    <mergeCell ref="B2:F2"/>
    <mergeCell ref="H2:I2"/>
    <mergeCell ref="H3:I3"/>
    <mergeCell ref="B3:F4"/>
  </mergeCells>
  <dataValidations count="1">
    <dataValidation type="list" allowBlank="1" showInputMessage="1" showErrorMessage="1" sqref="H7:H32" xr:uid="{61B76E34-ADB8-4B08-869B-AFC26D8B747A}">
      <formula1>"Roundtrip, Oneway, Unlimited"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0BD74-CCB4-4CC5-8C84-6A801B23B4B8}">
  <sheetPr codeName="Sheet9">
    <tabColor theme="7"/>
  </sheetPr>
  <dimension ref="A1:AD34"/>
  <sheetViews>
    <sheetView showGridLines="0" topLeftCell="L1" zoomScale="110" zoomScaleNormal="110" workbookViewId="0">
      <selection activeCell="W30" sqref="W30"/>
    </sheetView>
  </sheetViews>
  <sheetFormatPr defaultRowHeight="14.5" x14ac:dyDescent="0.35"/>
  <cols>
    <col min="1" max="11" width="0" hidden="1" customWidth="1"/>
    <col min="16" max="16" width="9.36328125" customWidth="1"/>
    <col min="23" max="23" width="8.7265625" style="302"/>
    <col min="25" max="26" width="14.81640625" bestFit="1" customWidth="1"/>
    <col min="27" max="27" width="10.08984375" bestFit="1" customWidth="1"/>
  </cols>
  <sheetData>
    <row r="1" spans="1:30" x14ac:dyDescent="0.35">
      <c r="A1" s="160"/>
      <c r="B1" s="161"/>
      <c r="C1" s="161"/>
      <c r="D1" s="161"/>
      <c r="E1" s="161"/>
      <c r="F1" s="161"/>
      <c r="G1" s="161"/>
      <c r="H1" s="161"/>
      <c r="I1" s="161"/>
      <c r="J1" s="161"/>
      <c r="K1" s="162"/>
      <c r="L1" s="163"/>
      <c r="M1" s="164"/>
      <c r="N1" s="164"/>
      <c r="O1" s="164"/>
      <c r="P1" s="164"/>
      <c r="Q1" s="164"/>
      <c r="R1" s="164"/>
      <c r="S1" s="164"/>
      <c r="T1" s="164"/>
      <c r="U1" s="164"/>
      <c r="V1" s="164"/>
      <c r="W1" s="301"/>
      <c r="X1" s="149"/>
      <c r="Y1" s="149"/>
      <c r="Z1" s="149"/>
      <c r="AA1" s="149"/>
      <c r="AB1" s="149"/>
      <c r="AC1" s="149"/>
      <c r="AD1" s="149"/>
    </row>
    <row r="2" spans="1:30" ht="21" x14ac:dyDescent="0.5">
      <c r="A2" s="165"/>
      <c r="B2" s="281" t="s">
        <v>92</v>
      </c>
      <c r="C2" s="281"/>
      <c r="D2" s="281"/>
      <c r="E2" s="281"/>
      <c r="F2" s="281"/>
      <c r="G2" s="281"/>
      <c r="H2" s="281"/>
      <c r="I2" s="281"/>
      <c r="J2" s="281"/>
      <c r="K2" s="166"/>
      <c r="L2" s="167"/>
      <c r="M2" s="282" t="s">
        <v>172</v>
      </c>
      <c r="N2" s="282"/>
      <c r="O2" s="282"/>
      <c r="P2" s="282"/>
      <c r="Q2" s="282"/>
      <c r="R2" s="282"/>
      <c r="S2" s="282"/>
      <c r="T2" s="282"/>
      <c r="U2" s="282"/>
      <c r="V2" s="300"/>
      <c r="W2" s="301"/>
      <c r="X2" s="149"/>
      <c r="Y2" s="149"/>
      <c r="Z2" s="149"/>
      <c r="AA2" s="149"/>
      <c r="AB2" s="149"/>
      <c r="AC2" s="149"/>
      <c r="AD2" s="149"/>
    </row>
    <row r="3" spans="1:30" x14ac:dyDescent="0.35">
      <c r="A3" s="165"/>
      <c r="B3" s="158" t="s">
        <v>87</v>
      </c>
      <c r="C3" s="158"/>
      <c r="D3" s="158"/>
      <c r="E3" s="158"/>
      <c r="F3" s="158"/>
      <c r="G3" s="158"/>
      <c r="H3" s="158"/>
      <c r="I3" s="158"/>
      <c r="J3" s="158"/>
      <c r="K3" s="166"/>
      <c r="L3" s="167"/>
      <c r="M3" s="168" t="s">
        <v>173</v>
      </c>
      <c r="N3" s="168"/>
      <c r="O3" s="168"/>
      <c r="P3" s="168"/>
      <c r="Q3" s="168"/>
      <c r="R3" s="168"/>
      <c r="S3" s="168"/>
      <c r="T3" s="168"/>
      <c r="U3" s="168"/>
      <c r="V3" s="300"/>
      <c r="W3" s="301"/>
      <c r="X3" s="149"/>
      <c r="Y3" s="149"/>
      <c r="Z3" s="149"/>
      <c r="AA3" s="149"/>
      <c r="AB3" s="149"/>
      <c r="AC3" s="149"/>
      <c r="AD3" s="149"/>
    </row>
    <row r="4" spans="1:30" x14ac:dyDescent="0.35">
      <c r="A4" s="165"/>
      <c r="B4" s="158"/>
      <c r="C4" s="158"/>
      <c r="D4" s="158"/>
      <c r="E4" s="158"/>
      <c r="F4" s="158"/>
      <c r="G4" s="158"/>
      <c r="H4" s="158"/>
      <c r="I4" s="158"/>
      <c r="J4" s="158"/>
      <c r="K4" s="166"/>
      <c r="L4" s="167"/>
      <c r="M4" s="168"/>
      <c r="N4" s="168"/>
      <c r="O4" s="168"/>
      <c r="P4" s="168"/>
      <c r="Q4" s="168"/>
      <c r="R4" s="168"/>
      <c r="S4" s="168"/>
      <c r="T4" s="168"/>
      <c r="U4" s="168"/>
      <c r="V4" s="300"/>
      <c r="W4" s="301"/>
      <c r="X4" s="149"/>
      <c r="Y4" s="149"/>
      <c r="Z4" s="149"/>
      <c r="AA4" s="149"/>
      <c r="AB4" s="149"/>
      <c r="AC4" s="149"/>
      <c r="AD4" s="149"/>
    </row>
    <row r="5" spans="1:30" ht="15" thickBot="1" x14ac:dyDescent="0.4">
      <c r="A5" s="165"/>
      <c r="B5" s="159" t="s">
        <v>59</v>
      </c>
      <c r="C5" s="158"/>
      <c r="D5" s="158"/>
      <c r="E5" s="158"/>
      <c r="F5" s="158"/>
      <c r="G5" s="158"/>
      <c r="H5" s="158"/>
      <c r="I5" s="158"/>
      <c r="J5" s="158"/>
      <c r="K5" s="166"/>
      <c r="L5" s="167"/>
      <c r="M5" s="175" t="s">
        <v>59</v>
      </c>
      <c r="N5" s="168"/>
      <c r="O5" s="168"/>
      <c r="P5" s="168"/>
      <c r="Q5" s="168"/>
      <c r="R5" s="168"/>
      <c r="S5" s="168"/>
      <c r="T5" s="168"/>
      <c r="U5" s="168"/>
      <c r="V5" s="300"/>
      <c r="W5" s="301"/>
      <c r="X5" s="149"/>
      <c r="Y5" s="149"/>
      <c r="Z5" s="149"/>
      <c r="AA5" s="149"/>
      <c r="AB5" s="149"/>
      <c r="AC5" s="149"/>
      <c r="AD5" s="149"/>
    </row>
    <row r="6" spans="1:30" ht="15" thickBot="1" x14ac:dyDescent="0.4">
      <c r="A6" s="165"/>
      <c r="B6" s="174" t="s">
        <v>89</v>
      </c>
      <c r="C6" s="158"/>
      <c r="D6" s="158"/>
      <c r="E6" s="158"/>
      <c r="F6" s="158"/>
      <c r="G6" s="158"/>
      <c r="H6" s="158"/>
      <c r="I6" s="279">
        <f>SUM(I8,I10,I13,I15,I17,I19)</f>
        <v>1500</v>
      </c>
      <c r="J6" s="280"/>
      <c r="K6" s="166"/>
      <c r="L6" s="167"/>
      <c r="M6" s="177" t="s">
        <v>90</v>
      </c>
      <c r="N6" s="168"/>
      <c r="O6" s="168"/>
      <c r="P6" s="168"/>
      <c r="Q6" s="168"/>
      <c r="R6" s="168"/>
      <c r="S6" s="168"/>
      <c r="T6" s="283">
        <v>2500</v>
      </c>
      <c r="U6" s="284"/>
      <c r="V6" s="300"/>
      <c r="W6" s="301"/>
      <c r="X6" s="149"/>
      <c r="Y6" s="149"/>
      <c r="Z6" s="149" t="s">
        <v>56</v>
      </c>
      <c r="AA6" s="303">
        <f>T8</f>
        <v>1560</v>
      </c>
      <c r="AB6" s="149"/>
      <c r="AC6" s="149"/>
      <c r="AD6" s="149"/>
    </row>
    <row r="7" spans="1:30" ht="15" thickBot="1" x14ac:dyDescent="0.4">
      <c r="A7" s="165"/>
      <c r="B7" s="47" t="s">
        <v>56</v>
      </c>
      <c r="C7" s="158"/>
      <c r="D7" s="158"/>
      <c r="E7" s="158"/>
      <c r="F7" s="158"/>
      <c r="G7" s="158"/>
      <c r="H7" s="158"/>
      <c r="I7" s="158"/>
      <c r="J7" s="158"/>
      <c r="K7" s="166"/>
      <c r="L7" s="167"/>
      <c r="M7" s="176" t="s">
        <v>56</v>
      </c>
      <c r="N7" s="168"/>
      <c r="O7" s="168"/>
      <c r="P7" s="168"/>
      <c r="Q7" s="168"/>
      <c r="R7" s="168"/>
      <c r="S7" s="168"/>
      <c r="T7" s="168"/>
      <c r="U7" s="168"/>
      <c r="V7" s="300"/>
      <c r="W7" s="301"/>
      <c r="X7" s="149"/>
      <c r="Y7" s="149"/>
      <c r="Z7" s="149" t="s">
        <v>39</v>
      </c>
      <c r="AA7" s="303">
        <f>T10</f>
        <v>270</v>
      </c>
      <c r="AB7" s="149"/>
      <c r="AC7" s="149"/>
      <c r="AD7" s="149"/>
    </row>
    <row r="8" spans="1:30" ht="15" thickBot="1" x14ac:dyDescent="0.4">
      <c r="A8" s="165"/>
      <c r="B8" s="174" t="s">
        <v>57</v>
      </c>
      <c r="C8" s="158"/>
      <c r="D8" s="158"/>
      <c r="E8" s="158"/>
      <c r="F8" s="158"/>
      <c r="G8" s="158"/>
      <c r="H8" s="158"/>
      <c r="I8" s="283">
        <v>1500</v>
      </c>
      <c r="J8" s="284"/>
      <c r="K8" s="166"/>
      <c r="L8" s="167"/>
      <c r="M8" s="177" t="s">
        <v>57</v>
      </c>
      <c r="N8" s="168"/>
      <c r="O8" s="168"/>
      <c r="P8" s="168"/>
      <c r="Q8" s="168"/>
      <c r="R8" s="168"/>
      <c r="S8" s="168"/>
      <c r="T8" s="279">
        <f>SUM('#3 Transportation'!H3)</f>
        <v>1560</v>
      </c>
      <c r="U8" s="280"/>
      <c r="V8" s="300"/>
      <c r="W8" s="301"/>
      <c r="X8" s="149"/>
      <c r="Y8" s="149"/>
      <c r="Z8" s="149" t="s">
        <v>60</v>
      </c>
      <c r="AA8" s="303">
        <f>T13</f>
        <v>135</v>
      </c>
      <c r="AB8" s="149"/>
      <c r="AC8" s="149"/>
      <c r="AD8" s="149"/>
    </row>
    <row r="9" spans="1:30" ht="15" thickBot="1" x14ac:dyDescent="0.4">
      <c r="A9" s="165"/>
      <c r="B9" s="47" t="s">
        <v>39</v>
      </c>
      <c r="C9" s="158"/>
      <c r="D9" s="158"/>
      <c r="E9" s="158"/>
      <c r="F9" s="158"/>
      <c r="G9" s="158"/>
      <c r="H9" s="158"/>
      <c r="I9" s="158"/>
      <c r="J9" s="158"/>
      <c r="K9" s="166"/>
      <c r="L9" s="167"/>
      <c r="M9" s="176" t="s">
        <v>39</v>
      </c>
      <c r="N9" s="168"/>
      <c r="O9" s="168"/>
      <c r="P9" s="168"/>
      <c r="Q9" s="168"/>
      <c r="R9" s="168"/>
      <c r="S9" s="168"/>
      <c r="T9" s="168"/>
      <c r="U9" s="168"/>
      <c r="V9" s="300"/>
      <c r="W9" s="301"/>
      <c r="X9" s="149"/>
      <c r="Y9" s="149"/>
      <c r="Z9" s="149" t="s">
        <v>61</v>
      </c>
      <c r="AA9" s="303">
        <f>T15</f>
        <v>200</v>
      </c>
      <c r="AB9" s="149"/>
      <c r="AC9" s="149"/>
      <c r="AD9" s="149"/>
    </row>
    <row r="10" spans="1:30" ht="15" thickBot="1" x14ac:dyDescent="0.4">
      <c r="A10" s="165"/>
      <c r="B10" s="174" t="s">
        <v>58</v>
      </c>
      <c r="C10" s="158"/>
      <c r="D10" s="158"/>
      <c r="E10" s="158"/>
      <c r="F10" s="158"/>
      <c r="G10" s="158"/>
      <c r="H10" s="158"/>
      <c r="I10" s="285"/>
      <c r="J10" s="286"/>
      <c r="K10" s="166"/>
      <c r="L10" s="167"/>
      <c r="M10" s="177" t="s">
        <v>58</v>
      </c>
      <c r="N10" s="168"/>
      <c r="O10" s="168"/>
      <c r="P10" s="168"/>
      <c r="Q10" s="168"/>
      <c r="R10" s="168"/>
      <c r="S10" s="168"/>
      <c r="T10" s="279">
        <f>'#2 Accomodations'!F3</f>
        <v>270</v>
      </c>
      <c r="U10" s="280"/>
      <c r="V10" s="300"/>
      <c r="W10" s="301"/>
      <c r="X10" s="149"/>
      <c r="Y10" s="149"/>
      <c r="Z10" s="149" t="s">
        <v>62</v>
      </c>
      <c r="AA10" s="303">
        <f>T17</f>
        <v>100</v>
      </c>
      <c r="AB10" s="149"/>
      <c r="AC10" s="149"/>
      <c r="AD10" s="149"/>
    </row>
    <row r="11" spans="1:30" ht="15" thickBot="1" x14ac:dyDescent="0.4">
      <c r="A11" s="165"/>
      <c r="B11" s="47" t="s">
        <v>60</v>
      </c>
      <c r="C11" s="158"/>
      <c r="D11" s="158"/>
      <c r="E11" s="158"/>
      <c r="F11" s="158"/>
      <c r="G11" s="158"/>
      <c r="H11" s="158"/>
      <c r="I11" s="158"/>
      <c r="J11" s="158"/>
      <c r="K11" s="166"/>
      <c r="L11" s="167"/>
      <c r="M11" s="176" t="s">
        <v>60</v>
      </c>
      <c r="N11" s="168"/>
      <c r="O11" s="168"/>
      <c r="P11" s="168"/>
      <c r="Q11" s="168"/>
      <c r="R11" s="168"/>
      <c r="S11" s="168"/>
      <c r="T11" s="168"/>
      <c r="U11" s="168"/>
      <c r="V11" s="300"/>
      <c r="W11" s="301"/>
      <c r="X11" s="149"/>
      <c r="Y11" s="149"/>
      <c r="Z11" s="149" t="s">
        <v>63</v>
      </c>
      <c r="AA11" s="303">
        <f>T19</f>
        <v>0</v>
      </c>
      <c r="AB11" s="149"/>
      <c r="AC11" s="149"/>
      <c r="AD11" s="149"/>
    </row>
    <row r="12" spans="1:30" ht="15" thickBot="1" x14ac:dyDescent="0.4">
      <c r="A12" s="165"/>
      <c r="B12" s="174" t="s">
        <v>65</v>
      </c>
      <c r="C12" s="158"/>
      <c r="D12" s="158"/>
      <c r="E12" s="158"/>
      <c r="F12" s="158"/>
      <c r="G12" s="158"/>
      <c r="H12" s="158"/>
      <c r="I12" s="287"/>
      <c r="J12" s="288"/>
      <c r="K12" s="166"/>
      <c r="L12" s="167"/>
      <c r="M12" s="177" t="s">
        <v>65</v>
      </c>
      <c r="N12" s="168"/>
      <c r="O12" s="168"/>
      <c r="P12" s="168"/>
      <c r="Q12" s="168"/>
      <c r="R12" s="168"/>
      <c r="S12" s="168"/>
      <c r="T12" s="287">
        <v>15</v>
      </c>
      <c r="U12" s="288"/>
      <c r="V12" s="300"/>
      <c r="W12" s="301"/>
      <c r="X12" s="149"/>
      <c r="Y12" s="149"/>
      <c r="Z12" s="149" t="s">
        <v>171</v>
      </c>
      <c r="AA12" s="303">
        <f>Q23</f>
        <v>235</v>
      </c>
      <c r="AB12" s="149"/>
      <c r="AC12" s="149"/>
      <c r="AD12" s="149"/>
    </row>
    <row r="13" spans="1:30" ht="15" thickBot="1" x14ac:dyDescent="0.4">
      <c r="A13" s="165"/>
      <c r="B13" s="174" t="s">
        <v>70</v>
      </c>
      <c r="C13" s="158"/>
      <c r="D13" s="158"/>
      <c r="E13" s="158"/>
      <c r="F13" s="158"/>
      <c r="G13" s="158"/>
      <c r="H13" s="158"/>
      <c r="I13" s="283"/>
      <c r="J13" s="284"/>
      <c r="K13" s="166"/>
      <c r="L13" s="167"/>
      <c r="M13" s="177" t="s">
        <v>70</v>
      </c>
      <c r="N13" s="168"/>
      <c r="O13" s="168"/>
      <c r="P13" s="168"/>
      <c r="Q13" s="168"/>
      <c r="R13" s="168"/>
      <c r="S13" s="168"/>
      <c r="T13" s="279">
        <f>T12*'#1 Trip Dreaming'!L3</f>
        <v>135</v>
      </c>
      <c r="U13" s="280"/>
      <c r="V13" s="300"/>
      <c r="W13" s="301"/>
      <c r="X13" s="149"/>
      <c r="Y13" s="149"/>
      <c r="Z13" s="149"/>
      <c r="AA13" s="149"/>
      <c r="AB13" s="149"/>
      <c r="AC13" s="149"/>
      <c r="AD13" s="149"/>
    </row>
    <row r="14" spans="1:30" ht="15" thickBot="1" x14ac:dyDescent="0.4">
      <c r="A14" s="165"/>
      <c r="B14" s="47" t="s">
        <v>61</v>
      </c>
      <c r="C14" s="158"/>
      <c r="D14" s="158"/>
      <c r="E14" s="158"/>
      <c r="F14" s="158"/>
      <c r="G14" s="158"/>
      <c r="H14" s="158"/>
      <c r="I14" s="158"/>
      <c r="J14" s="158"/>
      <c r="K14" s="166"/>
      <c r="L14" s="167"/>
      <c r="M14" s="176" t="s">
        <v>61</v>
      </c>
      <c r="N14" s="168"/>
      <c r="O14" s="168"/>
      <c r="P14" s="168"/>
      <c r="Q14" s="168"/>
      <c r="R14" s="168"/>
      <c r="S14" s="168"/>
      <c r="T14" s="168"/>
      <c r="U14" s="168"/>
      <c r="V14" s="300"/>
      <c r="W14" s="301"/>
      <c r="X14" s="149"/>
      <c r="Y14" s="149"/>
      <c r="Z14" s="149"/>
      <c r="AA14" s="149"/>
      <c r="AB14" s="149"/>
      <c r="AC14" s="149"/>
      <c r="AD14" s="149"/>
    </row>
    <row r="15" spans="1:30" ht="15" thickBot="1" x14ac:dyDescent="0.4">
      <c r="A15" s="165"/>
      <c r="B15" s="174" t="s">
        <v>64</v>
      </c>
      <c r="C15" s="158"/>
      <c r="D15" s="158"/>
      <c r="E15" s="158"/>
      <c r="F15" s="158"/>
      <c r="G15" s="158"/>
      <c r="H15" s="158"/>
      <c r="I15" s="283"/>
      <c r="J15" s="284"/>
      <c r="K15" s="166"/>
      <c r="L15" s="167"/>
      <c r="M15" s="177" t="s">
        <v>64</v>
      </c>
      <c r="N15" s="168"/>
      <c r="O15" s="168"/>
      <c r="P15" s="168"/>
      <c r="Q15" s="168"/>
      <c r="R15" s="168"/>
      <c r="S15" s="168"/>
      <c r="T15" s="283">
        <v>200</v>
      </c>
      <c r="U15" s="284"/>
      <c r="V15" s="300"/>
      <c r="W15" s="301"/>
      <c r="X15" s="149"/>
      <c r="Y15" s="149"/>
      <c r="Z15" s="149"/>
      <c r="AA15" s="149"/>
      <c r="AB15" s="149"/>
      <c r="AC15" s="149"/>
      <c r="AD15" s="149"/>
    </row>
    <row r="16" spans="1:30" ht="15" thickBot="1" x14ac:dyDescent="0.4">
      <c r="A16" s="165"/>
      <c r="B16" s="47" t="s">
        <v>62</v>
      </c>
      <c r="C16" s="158"/>
      <c r="D16" s="158"/>
      <c r="E16" s="158"/>
      <c r="F16" s="158"/>
      <c r="G16" s="158"/>
      <c r="H16" s="158"/>
      <c r="I16" s="158"/>
      <c r="J16" s="158"/>
      <c r="K16" s="166"/>
      <c r="L16" s="167"/>
      <c r="M16" s="176" t="s">
        <v>62</v>
      </c>
      <c r="N16" s="168"/>
      <c r="O16" s="168"/>
      <c r="P16" s="168"/>
      <c r="Q16" s="168"/>
      <c r="R16" s="168"/>
      <c r="S16" s="168"/>
      <c r="T16" s="168"/>
      <c r="U16" s="168"/>
      <c r="V16" s="300"/>
      <c r="W16" s="301"/>
      <c r="X16" s="149"/>
      <c r="Y16" s="149"/>
      <c r="Z16" s="149"/>
      <c r="AA16" s="149"/>
      <c r="AB16" s="149"/>
      <c r="AC16" s="149"/>
      <c r="AD16" s="149"/>
    </row>
    <row r="17" spans="1:30" ht="15" thickBot="1" x14ac:dyDescent="0.4">
      <c r="A17" s="165"/>
      <c r="B17" s="174" t="s">
        <v>66</v>
      </c>
      <c r="C17" s="158"/>
      <c r="D17" s="158"/>
      <c r="E17" s="158"/>
      <c r="F17" s="158"/>
      <c r="G17" s="158"/>
      <c r="H17" s="158"/>
      <c r="I17" s="283"/>
      <c r="J17" s="284"/>
      <c r="K17" s="166"/>
      <c r="L17" s="167"/>
      <c r="M17" s="177" t="s">
        <v>66</v>
      </c>
      <c r="N17" s="168"/>
      <c r="O17" s="168"/>
      <c r="P17" s="168"/>
      <c r="Q17" s="168"/>
      <c r="R17" s="168"/>
      <c r="S17" s="168"/>
      <c r="T17" s="283">
        <v>100</v>
      </c>
      <c r="U17" s="284"/>
      <c r="V17" s="300"/>
      <c r="W17" s="301"/>
      <c r="X17" s="149"/>
      <c r="Y17" s="149"/>
      <c r="Z17" s="149"/>
      <c r="AA17" s="149"/>
      <c r="AB17" s="149"/>
      <c r="AC17" s="149"/>
      <c r="AD17" s="149"/>
    </row>
    <row r="18" spans="1:30" ht="15" thickBot="1" x14ac:dyDescent="0.4">
      <c r="A18" s="165"/>
      <c r="B18" s="47" t="s">
        <v>63</v>
      </c>
      <c r="C18" s="158"/>
      <c r="D18" s="158"/>
      <c r="E18" s="158"/>
      <c r="F18" s="158"/>
      <c r="G18" s="158"/>
      <c r="H18" s="158"/>
      <c r="I18" s="158"/>
      <c r="J18" s="158"/>
      <c r="K18" s="166"/>
      <c r="L18" s="167"/>
      <c r="M18" s="176" t="s">
        <v>63</v>
      </c>
      <c r="N18" s="168"/>
      <c r="O18" s="168"/>
      <c r="P18" s="168"/>
      <c r="Q18" s="168"/>
      <c r="R18" s="168"/>
      <c r="S18" s="168"/>
      <c r="T18" s="168"/>
      <c r="U18" s="168"/>
      <c r="V18" s="300"/>
      <c r="W18" s="301"/>
      <c r="X18" s="149"/>
      <c r="Y18" s="149"/>
      <c r="Z18" s="149"/>
      <c r="AA18" s="149"/>
      <c r="AB18" s="149"/>
      <c r="AC18" s="149"/>
      <c r="AD18" s="149"/>
    </row>
    <row r="19" spans="1:30" ht="15" thickBot="1" x14ac:dyDescent="0.4">
      <c r="A19" s="165"/>
      <c r="B19" s="174" t="s">
        <v>67</v>
      </c>
      <c r="C19" s="158"/>
      <c r="D19" s="158"/>
      <c r="E19" s="158"/>
      <c r="F19" s="158"/>
      <c r="G19" s="158"/>
      <c r="H19" s="158"/>
      <c r="I19" s="283"/>
      <c r="J19" s="284"/>
      <c r="K19" s="166"/>
      <c r="L19" s="167"/>
      <c r="M19" s="177" t="s">
        <v>174</v>
      </c>
      <c r="N19" s="168"/>
      <c r="O19" s="168"/>
      <c r="P19" s="168"/>
      <c r="Q19" s="168"/>
      <c r="R19" s="168"/>
      <c r="S19" s="168"/>
      <c r="T19" s="283"/>
      <c r="U19" s="284"/>
      <c r="V19" s="300"/>
      <c r="W19" s="301"/>
      <c r="X19" s="149"/>
      <c r="Y19" s="149"/>
      <c r="Z19" s="149"/>
      <c r="AA19" s="149"/>
      <c r="AB19" s="149"/>
      <c r="AC19" s="149"/>
      <c r="AD19" s="149"/>
    </row>
    <row r="20" spans="1:30" x14ac:dyDescent="0.35">
      <c r="A20" s="165"/>
      <c r="B20" s="158"/>
      <c r="C20" s="158"/>
      <c r="D20" s="158"/>
      <c r="E20" s="158"/>
      <c r="F20" s="158"/>
      <c r="G20" s="158"/>
      <c r="H20" s="158"/>
      <c r="I20" s="158"/>
      <c r="J20" s="158"/>
      <c r="K20" s="166"/>
      <c r="L20" s="167"/>
      <c r="M20" s="168"/>
      <c r="N20" s="168"/>
      <c r="O20" s="168"/>
      <c r="P20" s="168"/>
      <c r="Q20" s="168"/>
      <c r="R20" s="168"/>
      <c r="S20" s="168"/>
      <c r="T20" s="168"/>
      <c r="U20" s="168"/>
      <c r="V20" s="300"/>
      <c r="W20" s="301"/>
      <c r="X20" s="149"/>
      <c r="Y20" s="149"/>
      <c r="Z20" s="149"/>
      <c r="AA20" s="149"/>
      <c r="AB20" s="149"/>
      <c r="AC20" s="149"/>
      <c r="AD20" s="149"/>
    </row>
    <row r="21" spans="1:30" x14ac:dyDescent="0.35">
      <c r="A21" s="165"/>
      <c r="B21" s="158"/>
      <c r="C21" s="158"/>
      <c r="D21" s="158"/>
      <c r="E21" s="158"/>
      <c r="F21" s="158"/>
      <c r="G21" s="158"/>
      <c r="H21" s="158"/>
      <c r="I21" s="158"/>
      <c r="J21" s="158"/>
      <c r="K21" s="166"/>
      <c r="L21" s="167"/>
      <c r="M21" s="168"/>
      <c r="N21" s="168"/>
      <c r="O21" s="168"/>
      <c r="P21" s="168"/>
      <c r="Q21" s="168"/>
      <c r="R21" s="168"/>
      <c r="S21" s="168"/>
      <c r="T21" s="168"/>
      <c r="U21" s="168"/>
      <c r="V21" s="300"/>
      <c r="W21" s="301"/>
      <c r="X21" s="149"/>
      <c r="Y21" s="149"/>
      <c r="Z21" s="149"/>
      <c r="AA21" s="149"/>
      <c r="AB21" s="149"/>
      <c r="AC21" s="149"/>
      <c r="AD21" s="149"/>
    </row>
    <row r="22" spans="1:30" ht="15" thickBot="1" x14ac:dyDescent="0.4">
      <c r="A22" s="165"/>
      <c r="B22" s="158"/>
      <c r="C22" s="158"/>
      <c r="D22" s="158"/>
      <c r="E22" s="158"/>
      <c r="F22" s="158"/>
      <c r="G22" s="158"/>
      <c r="H22" s="158"/>
      <c r="I22" s="158"/>
      <c r="J22" s="158"/>
      <c r="K22" s="166"/>
      <c r="L22" s="167"/>
      <c r="M22" s="168"/>
      <c r="N22" s="168"/>
      <c r="O22" s="168"/>
      <c r="P22" s="168"/>
      <c r="Q22" s="168"/>
      <c r="R22" s="168"/>
      <c r="S22" s="168"/>
      <c r="T22" s="168"/>
      <c r="U22" s="168"/>
      <c r="V22" s="300"/>
      <c r="W22" s="301"/>
      <c r="X22" s="149"/>
      <c r="Y22" s="149"/>
      <c r="Z22" s="149"/>
      <c r="AA22" s="149"/>
      <c r="AB22" s="149"/>
      <c r="AC22" s="149"/>
      <c r="AD22" s="149"/>
    </row>
    <row r="23" spans="1:30" ht="15" thickBot="1" x14ac:dyDescent="0.4">
      <c r="A23" s="165"/>
      <c r="B23" s="158"/>
      <c r="C23" s="158"/>
      <c r="D23" s="158"/>
      <c r="E23" s="158"/>
      <c r="F23" s="158"/>
      <c r="G23" s="158"/>
      <c r="H23" s="158"/>
      <c r="I23" s="158"/>
      <c r="J23" s="158"/>
      <c r="K23" s="166"/>
      <c r="L23" s="167"/>
      <c r="M23" s="149"/>
      <c r="N23" s="168" t="s">
        <v>91</v>
      </c>
      <c r="O23" s="168"/>
      <c r="P23" s="168"/>
      <c r="Q23" s="289">
        <f>T6-SUM(T8,T10,T13,T15,T17,T19)</f>
        <v>235</v>
      </c>
      <c r="R23" s="290"/>
      <c r="S23" s="168"/>
      <c r="T23" s="168"/>
      <c r="U23" s="168"/>
      <c r="V23" s="300"/>
      <c r="W23" s="301"/>
      <c r="X23" s="149"/>
      <c r="Y23" s="149"/>
      <c r="Z23" s="149"/>
      <c r="AA23" s="149"/>
      <c r="AB23" s="149"/>
      <c r="AC23" s="149"/>
      <c r="AD23" s="149"/>
    </row>
    <row r="24" spans="1:30" x14ac:dyDescent="0.35">
      <c r="A24" s="165"/>
      <c r="B24" s="158"/>
      <c r="C24" s="158"/>
      <c r="D24" s="158"/>
      <c r="E24" s="158"/>
      <c r="F24" s="158"/>
      <c r="G24" s="158"/>
      <c r="H24" s="158"/>
      <c r="I24" s="158"/>
      <c r="J24" s="158"/>
      <c r="K24" s="166"/>
      <c r="L24" s="167"/>
      <c r="M24" s="168"/>
      <c r="N24" s="177"/>
      <c r="O24" s="168"/>
      <c r="P24" s="168"/>
      <c r="Q24" s="168"/>
      <c r="R24" s="168"/>
      <c r="S24" s="168"/>
      <c r="T24" s="168"/>
      <c r="U24" s="168"/>
      <c r="V24" s="300"/>
      <c r="W24" s="301"/>
      <c r="X24" s="149"/>
      <c r="Y24" s="149"/>
      <c r="Z24" s="149"/>
      <c r="AA24" s="149"/>
      <c r="AB24" s="149"/>
      <c r="AC24" s="149"/>
      <c r="AD24" s="149"/>
    </row>
    <row r="25" spans="1:30" x14ac:dyDescent="0.35">
      <c r="A25" s="165"/>
      <c r="B25" s="158"/>
      <c r="C25" s="158"/>
      <c r="D25" s="158"/>
      <c r="E25" s="158"/>
      <c r="F25" s="158"/>
      <c r="G25" s="158"/>
      <c r="H25" s="158"/>
      <c r="I25" s="158"/>
      <c r="J25" s="158"/>
      <c r="K25" s="166"/>
      <c r="L25" s="167"/>
      <c r="M25" s="168"/>
      <c r="N25" s="168"/>
      <c r="O25" s="168"/>
      <c r="P25" s="168"/>
      <c r="Q25" s="168"/>
      <c r="R25" s="168"/>
      <c r="S25" s="168"/>
      <c r="T25" s="168"/>
      <c r="U25" s="168"/>
      <c r="V25" s="300"/>
      <c r="W25" s="301"/>
      <c r="X25" s="149"/>
      <c r="Y25" s="149"/>
      <c r="Z25" s="149"/>
      <c r="AA25" s="149"/>
      <c r="AB25" s="149"/>
      <c r="AC25" s="149"/>
      <c r="AD25" s="149"/>
    </row>
    <row r="26" spans="1:30" x14ac:dyDescent="0.35">
      <c r="A26" s="165"/>
      <c r="B26" s="158"/>
      <c r="C26" s="158"/>
      <c r="D26" s="158"/>
      <c r="E26" s="158"/>
      <c r="F26" s="158"/>
      <c r="G26" s="158"/>
      <c r="H26" s="158"/>
      <c r="I26" s="158"/>
      <c r="J26" s="158"/>
      <c r="K26" s="166"/>
      <c r="L26" s="167"/>
      <c r="M26" s="168"/>
      <c r="N26" s="168"/>
      <c r="O26" s="168"/>
      <c r="P26" s="168"/>
      <c r="Q26" s="168"/>
      <c r="R26" s="168"/>
      <c r="S26" s="168"/>
      <c r="T26" s="168"/>
      <c r="U26" s="168"/>
      <c r="V26" s="300"/>
      <c r="W26" s="301"/>
      <c r="X26" s="149"/>
      <c r="Y26" s="149"/>
      <c r="Z26" s="149"/>
      <c r="AA26" s="149"/>
      <c r="AB26" s="149"/>
      <c r="AC26" s="149"/>
      <c r="AD26" s="149"/>
    </row>
    <row r="27" spans="1:30" x14ac:dyDescent="0.35">
      <c r="A27" s="165"/>
      <c r="B27" s="158"/>
      <c r="C27" s="158"/>
      <c r="D27" s="158"/>
      <c r="E27" s="158"/>
      <c r="F27" s="158"/>
      <c r="G27" s="158"/>
      <c r="H27" s="158"/>
      <c r="I27" s="158"/>
      <c r="J27" s="158"/>
      <c r="K27" s="166"/>
      <c r="L27" s="167"/>
      <c r="M27" s="168"/>
      <c r="N27" s="168"/>
      <c r="O27" s="168"/>
      <c r="P27" s="168"/>
      <c r="Q27" s="168"/>
      <c r="R27" s="168"/>
      <c r="S27" s="168"/>
      <c r="T27" s="168"/>
      <c r="U27" s="168"/>
      <c r="V27" s="300"/>
      <c r="W27" s="301"/>
      <c r="X27" s="149"/>
      <c r="Y27" s="149"/>
      <c r="Z27" s="149"/>
      <c r="AA27" s="149"/>
      <c r="AB27" s="149"/>
      <c r="AC27" s="149"/>
      <c r="AD27" s="149"/>
    </row>
    <row r="28" spans="1:30" x14ac:dyDescent="0.35">
      <c r="A28" s="165"/>
      <c r="B28" s="158"/>
      <c r="C28" s="158"/>
      <c r="D28" s="158"/>
      <c r="E28" s="158"/>
      <c r="F28" s="158"/>
      <c r="G28" s="158"/>
      <c r="H28" s="158"/>
      <c r="I28" s="158"/>
      <c r="J28" s="158"/>
      <c r="K28" s="166"/>
      <c r="L28" s="167"/>
      <c r="M28" s="168"/>
      <c r="N28" s="168"/>
      <c r="O28" s="168"/>
      <c r="P28" s="168"/>
      <c r="Q28" s="168"/>
      <c r="R28" s="168"/>
      <c r="S28" s="168"/>
      <c r="T28" s="168"/>
      <c r="U28" s="168"/>
      <c r="V28" s="300"/>
      <c r="W28" s="301"/>
      <c r="X28" s="149"/>
      <c r="Y28" s="149"/>
      <c r="Z28" s="149"/>
      <c r="AA28" s="149"/>
      <c r="AB28" s="149"/>
      <c r="AC28" s="149"/>
      <c r="AD28" s="149"/>
    </row>
    <row r="29" spans="1:30" x14ac:dyDescent="0.35">
      <c r="A29" s="165"/>
      <c r="B29" s="158"/>
      <c r="C29" s="158"/>
      <c r="D29" s="158"/>
      <c r="E29" s="158"/>
      <c r="F29" s="158"/>
      <c r="G29" s="158"/>
      <c r="H29" s="158"/>
      <c r="I29" s="158"/>
      <c r="J29" s="158"/>
      <c r="K29" s="166"/>
      <c r="L29" s="167"/>
      <c r="M29" s="168"/>
      <c r="N29" s="168"/>
      <c r="O29" s="168"/>
      <c r="P29" s="168"/>
      <c r="Q29" s="168"/>
      <c r="R29" s="168"/>
      <c r="S29" s="168"/>
      <c r="T29" s="168"/>
      <c r="U29" s="168"/>
      <c r="V29" s="300"/>
      <c r="W29" s="301"/>
      <c r="X29" s="149"/>
      <c r="Y29" s="149"/>
      <c r="Z29" s="149"/>
      <c r="AA29" s="149"/>
      <c r="AB29" s="149"/>
      <c r="AC29" s="149"/>
      <c r="AD29" s="149"/>
    </row>
    <row r="30" spans="1:30" x14ac:dyDescent="0.35">
      <c r="A30" s="165"/>
      <c r="B30" s="158"/>
      <c r="C30" s="158"/>
      <c r="D30" s="158"/>
      <c r="E30" s="158"/>
      <c r="F30" s="158"/>
      <c r="G30" s="158"/>
      <c r="H30" s="158"/>
      <c r="I30" s="158"/>
      <c r="J30" s="158"/>
      <c r="K30" s="166"/>
      <c r="L30" s="167"/>
      <c r="M30" s="168"/>
      <c r="N30" s="168"/>
      <c r="O30" s="168"/>
      <c r="P30" s="168"/>
      <c r="Q30" s="168"/>
      <c r="R30" s="168"/>
      <c r="S30" s="168"/>
      <c r="T30" s="168"/>
      <c r="U30" s="168"/>
      <c r="V30" s="300"/>
      <c r="W30" s="301"/>
      <c r="X30" s="149"/>
      <c r="Y30" s="149"/>
      <c r="Z30" s="149"/>
      <c r="AA30" s="149"/>
      <c r="AB30" s="149"/>
      <c r="AC30" s="149"/>
      <c r="AD30" s="149"/>
    </row>
    <row r="31" spans="1:30" x14ac:dyDescent="0.35">
      <c r="A31" s="165"/>
      <c r="B31" s="158"/>
      <c r="C31" s="158"/>
      <c r="D31" s="158"/>
      <c r="E31" s="158"/>
      <c r="F31" s="158"/>
      <c r="G31" s="158"/>
      <c r="H31" s="158"/>
      <c r="I31" s="158"/>
      <c r="J31" s="158"/>
      <c r="K31" s="166"/>
      <c r="L31" s="167"/>
      <c r="M31" s="168"/>
      <c r="N31" s="168"/>
      <c r="O31" s="168"/>
      <c r="P31" s="168"/>
      <c r="Q31" s="168"/>
      <c r="R31" s="168"/>
      <c r="S31" s="168"/>
      <c r="T31" s="168"/>
      <c r="U31" s="168"/>
      <c r="V31" s="300"/>
      <c r="W31" s="301"/>
      <c r="X31" s="149"/>
      <c r="Y31" s="149"/>
      <c r="Z31" s="149"/>
      <c r="AA31" s="149"/>
      <c r="AB31" s="149"/>
      <c r="AC31" s="149"/>
      <c r="AD31" s="149"/>
    </row>
    <row r="32" spans="1:30" x14ac:dyDescent="0.35">
      <c r="A32" s="165"/>
      <c r="B32" s="158"/>
      <c r="C32" s="158"/>
      <c r="D32" s="158"/>
      <c r="E32" s="158"/>
      <c r="F32" s="158"/>
      <c r="G32" s="158"/>
      <c r="H32" s="158"/>
      <c r="I32" s="158"/>
      <c r="J32" s="158"/>
      <c r="K32" s="166"/>
      <c r="L32" s="167"/>
      <c r="M32" s="168"/>
      <c r="N32" s="168"/>
      <c r="O32" s="168"/>
      <c r="P32" s="168"/>
      <c r="Q32" s="168"/>
      <c r="R32" s="168"/>
      <c r="S32" s="168"/>
      <c r="T32" s="168"/>
      <c r="U32" s="168"/>
      <c r="V32" s="300"/>
      <c r="W32" s="301"/>
      <c r="X32" s="149"/>
      <c r="Y32" s="149"/>
      <c r="Z32" s="149"/>
      <c r="AA32" s="149"/>
      <c r="AB32" s="149"/>
      <c r="AC32" s="149"/>
      <c r="AD32" s="149"/>
    </row>
    <row r="33" spans="1:30" x14ac:dyDescent="0.35">
      <c r="A33" s="165"/>
      <c r="B33" s="158"/>
      <c r="C33" s="158"/>
      <c r="D33" s="158"/>
      <c r="E33" s="158"/>
      <c r="F33" s="158"/>
      <c r="G33" s="158"/>
      <c r="H33" s="158"/>
      <c r="I33" s="158"/>
      <c r="J33" s="158"/>
      <c r="K33" s="166"/>
      <c r="L33" s="167"/>
      <c r="M33" s="168"/>
      <c r="N33" s="168"/>
      <c r="O33" s="168"/>
      <c r="P33" s="168"/>
      <c r="Q33" s="168"/>
      <c r="R33" s="168"/>
      <c r="S33" s="168"/>
      <c r="T33" s="168"/>
      <c r="U33" s="168"/>
      <c r="V33" s="300"/>
      <c r="W33" s="301"/>
      <c r="X33" s="149"/>
      <c r="Y33" s="149"/>
      <c r="Z33" s="149"/>
      <c r="AA33" s="149"/>
      <c r="AB33" s="149"/>
      <c r="AC33" s="149"/>
      <c r="AD33" s="149"/>
    </row>
    <row r="34" spans="1:30" ht="15" thickBot="1" x14ac:dyDescent="0.4">
      <c r="A34" s="169"/>
      <c r="B34" s="170"/>
      <c r="C34" s="170"/>
      <c r="D34" s="170"/>
      <c r="E34" s="170"/>
      <c r="F34" s="170"/>
      <c r="G34" s="170"/>
      <c r="H34" s="170"/>
      <c r="I34" s="170"/>
      <c r="J34" s="170"/>
      <c r="K34" s="171"/>
      <c r="L34" s="172"/>
      <c r="M34" s="173"/>
      <c r="N34" s="173"/>
      <c r="O34" s="173"/>
      <c r="P34" s="173"/>
      <c r="Q34" s="173"/>
      <c r="R34" s="173"/>
      <c r="S34" s="173"/>
      <c r="T34" s="173"/>
      <c r="U34" s="173"/>
      <c r="V34" s="173"/>
      <c r="W34" s="301"/>
      <c r="X34" s="149"/>
      <c r="Y34" s="149"/>
      <c r="Z34" s="149"/>
      <c r="AA34" s="149"/>
      <c r="AB34" s="149"/>
      <c r="AC34" s="149"/>
      <c r="AD34" s="149"/>
    </row>
  </sheetData>
  <sheetProtection algorithmName="SHA-512" hashValue="1A9Ga4KyLKpa4yuKwufbha7/MyavlanBspAJiTy3H3IRT5NqPMj2JZS3R2gdLFlT97yR3QpCcXrvScFGfIOEgw==" saltValue="wF8b1b2CJgmu3t62cDQEcA==" spinCount="100000" sheet="1" objects="1" scenarios="1"/>
  <mergeCells count="19">
    <mergeCell ref="Q23:R23"/>
    <mergeCell ref="T6:U6"/>
    <mergeCell ref="T8:U8"/>
    <mergeCell ref="T10:U10"/>
    <mergeCell ref="T13:U13"/>
    <mergeCell ref="T15:U15"/>
    <mergeCell ref="I6:J6"/>
    <mergeCell ref="T12:U12"/>
    <mergeCell ref="B2:J2"/>
    <mergeCell ref="M2:U2"/>
    <mergeCell ref="I19:J19"/>
    <mergeCell ref="I17:J17"/>
    <mergeCell ref="I15:J15"/>
    <mergeCell ref="I10:J10"/>
    <mergeCell ref="I8:J8"/>
    <mergeCell ref="I12:J12"/>
    <mergeCell ref="I13:J13"/>
    <mergeCell ref="T17:U17"/>
    <mergeCell ref="T19:U19"/>
  </mergeCells>
  <pageMargins left="0.7" right="0.7" top="0.75" bottom="0.75" header="0.3" footer="0.3"/>
  <pageSetup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35D85-E7FA-43B7-9160-E7C770394894}">
  <sheetPr codeName="Sheet1">
    <tabColor theme="4" tint="0.79998168889431442"/>
  </sheetPr>
  <dimension ref="A1:Q34"/>
  <sheetViews>
    <sheetView showGridLines="0" workbookViewId="0">
      <selection activeCell="B2" sqref="B2"/>
    </sheetView>
  </sheetViews>
  <sheetFormatPr defaultRowHeight="14.5" x14ac:dyDescent="0.35"/>
  <cols>
    <col min="1" max="1" width="4.36328125" customWidth="1"/>
    <col min="2" max="2" width="50.54296875" customWidth="1"/>
    <col min="3" max="3" width="3.7265625" bestFit="1" customWidth="1"/>
    <col min="4" max="4" width="2.90625" customWidth="1"/>
    <col min="5" max="5" width="7.7265625" customWidth="1"/>
    <col min="6" max="6" width="50.6328125" customWidth="1"/>
    <col min="7" max="7" width="3.7265625" bestFit="1" customWidth="1"/>
    <col min="8" max="8" width="3" customWidth="1"/>
    <col min="9" max="9" width="7.7265625" customWidth="1"/>
    <col min="10" max="10" width="50.7265625" customWidth="1"/>
    <col min="11" max="11" width="3.7265625" bestFit="1" customWidth="1"/>
    <col min="12" max="12" width="3" customWidth="1"/>
    <col min="13" max="13" width="3.54296875" bestFit="1" customWidth="1"/>
  </cols>
  <sheetData>
    <row r="1" spans="1:17" ht="15" thickBot="1" x14ac:dyDescent="0.4">
      <c r="A1" s="3"/>
      <c r="B1" s="3"/>
      <c r="C1" s="3"/>
      <c r="D1" s="3"/>
      <c r="E1" s="3"/>
      <c r="F1" s="3"/>
      <c r="G1" s="3"/>
      <c r="H1" s="3"/>
      <c r="I1" s="3"/>
      <c r="J1" s="3"/>
      <c r="K1" s="3"/>
      <c r="L1" s="3"/>
      <c r="M1" s="3"/>
      <c r="N1" s="3"/>
      <c r="O1" s="3"/>
      <c r="P1" s="3"/>
      <c r="Q1" s="3"/>
    </row>
    <row r="2" spans="1:17" ht="15" customHeight="1" x14ac:dyDescent="0.45">
      <c r="A2" s="3"/>
      <c r="B2" s="219" t="s">
        <v>98</v>
      </c>
      <c r="C2" s="3"/>
      <c r="D2" s="3"/>
      <c r="E2" s="3"/>
      <c r="F2" s="291" t="s">
        <v>105</v>
      </c>
      <c r="G2" s="292"/>
      <c r="H2" s="293"/>
      <c r="I2" s="3"/>
      <c r="J2" s="220" t="s">
        <v>145</v>
      </c>
      <c r="K2" s="221"/>
      <c r="L2" s="222"/>
      <c r="M2" s="3"/>
      <c r="N2" s="3"/>
      <c r="O2" s="3"/>
      <c r="P2" s="3"/>
      <c r="Q2" s="3"/>
    </row>
    <row r="3" spans="1:17" ht="15" thickBot="1" x14ac:dyDescent="0.4">
      <c r="A3" s="3"/>
      <c r="B3" s="3" t="s">
        <v>99</v>
      </c>
      <c r="C3" s="3"/>
      <c r="D3" s="3"/>
      <c r="E3" s="3"/>
      <c r="F3" s="213" t="s">
        <v>104</v>
      </c>
      <c r="G3" s="214" t="s">
        <v>103</v>
      </c>
      <c r="H3" s="215"/>
      <c r="I3" s="3"/>
      <c r="J3" s="213" t="s">
        <v>104</v>
      </c>
      <c r="K3" s="214" t="s">
        <v>103</v>
      </c>
      <c r="L3" s="215"/>
      <c r="M3" s="3"/>
      <c r="N3" s="3"/>
      <c r="O3" s="3"/>
      <c r="P3" s="3"/>
      <c r="Q3" s="3"/>
    </row>
    <row r="4" spans="1:17" ht="15" thickBot="1" x14ac:dyDescent="0.4">
      <c r="A4" s="3"/>
      <c r="B4" s="3"/>
      <c r="C4" s="3"/>
      <c r="D4" s="3"/>
      <c r="E4" s="3"/>
      <c r="F4" s="203" t="s">
        <v>110</v>
      </c>
      <c r="G4" s="218">
        <v>3</v>
      </c>
      <c r="H4" s="207"/>
      <c r="I4" s="3"/>
      <c r="J4" s="217" t="s">
        <v>128</v>
      </c>
      <c r="K4" s="218">
        <v>1</v>
      </c>
      <c r="L4" s="234"/>
      <c r="M4" s="3"/>
      <c r="N4" s="3"/>
      <c r="O4" s="3"/>
      <c r="P4" s="3"/>
      <c r="Q4" s="3"/>
    </row>
    <row r="5" spans="1:17" x14ac:dyDescent="0.35">
      <c r="A5" s="3"/>
      <c r="B5" s="297" t="s">
        <v>100</v>
      </c>
      <c r="C5" s="298"/>
      <c r="D5" s="299"/>
      <c r="E5" s="3"/>
      <c r="F5" s="203" t="s">
        <v>111</v>
      </c>
      <c r="G5" s="205">
        <v>16</v>
      </c>
      <c r="H5" s="212"/>
      <c r="I5" s="3"/>
      <c r="J5" s="203" t="s">
        <v>129</v>
      </c>
      <c r="K5" s="205">
        <v>6</v>
      </c>
      <c r="L5" s="207"/>
      <c r="M5" s="3"/>
      <c r="N5" s="3"/>
    </row>
    <row r="6" spans="1:17" ht="15" thickBot="1" x14ac:dyDescent="0.4">
      <c r="A6" s="3"/>
      <c r="B6" s="213" t="s">
        <v>104</v>
      </c>
      <c r="C6" s="214" t="s">
        <v>103</v>
      </c>
      <c r="D6" s="215"/>
      <c r="E6" s="3"/>
      <c r="F6" s="203" t="s">
        <v>112</v>
      </c>
      <c r="G6" s="205">
        <v>3</v>
      </c>
      <c r="H6" s="212"/>
      <c r="I6" s="3"/>
      <c r="J6" s="203" t="s">
        <v>130</v>
      </c>
      <c r="K6" s="205">
        <v>1</v>
      </c>
      <c r="L6" s="212"/>
      <c r="M6" s="3"/>
      <c r="N6" s="3"/>
    </row>
    <row r="7" spans="1:17" x14ac:dyDescent="0.35">
      <c r="A7" s="3"/>
      <c r="B7" s="210" t="s">
        <v>107</v>
      </c>
      <c r="C7" s="211">
        <v>2</v>
      </c>
      <c r="D7" s="212"/>
      <c r="E7" s="3"/>
      <c r="F7" s="203" t="s">
        <v>113</v>
      </c>
      <c r="G7" s="205">
        <v>4</v>
      </c>
      <c r="H7" s="212"/>
      <c r="I7" s="3"/>
      <c r="J7" s="203" t="s">
        <v>143</v>
      </c>
      <c r="K7" s="205">
        <v>1</v>
      </c>
      <c r="L7" s="212"/>
      <c r="M7" s="3"/>
      <c r="N7" s="3"/>
    </row>
    <row r="8" spans="1:17" x14ac:dyDescent="0.35">
      <c r="A8" s="3"/>
      <c r="B8" s="203" t="s">
        <v>118</v>
      </c>
      <c r="C8" s="205">
        <v>1</v>
      </c>
      <c r="D8" s="212"/>
      <c r="E8" s="3"/>
      <c r="F8" s="203" t="s">
        <v>114</v>
      </c>
      <c r="G8" s="205">
        <v>2</v>
      </c>
      <c r="H8" s="212"/>
      <c r="I8" s="3"/>
      <c r="J8" s="203" t="s">
        <v>146</v>
      </c>
      <c r="K8" s="205">
        <v>1</v>
      </c>
      <c r="L8" s="212"/>
      <c r="M8" s="3"/>
      <c r="N8" s="3"/>
    </row>
    <row r="9" spans="1:17" x14ac:dyDescent="0.35">
      <c r="A9" s="3"/>
      <c r="B9" s="203" t="s">
        <v>119</v>
      </c>
      <c r="C9" s="205">
        <v>1</v>
      </c>
      <c r="D9" s="212"/>
      <c r="E9" s="3"/>
      <c r="F9" s="203"/>
      <c r="G9" s="205"/>
      <c r="H9" s="212"/>
      <c r="I9" s="3"/>
      <c r="J9" s="203" t="s">
        <v>147</v>
      </c>
      <c r="K9" s="205">
        <v>1</v>
      </c>
      <c r="L9" s="212"/>
      <c r="M9" s="3"/>
      <c r="N9" s="3"/>
    </row>
    <row r="10" spans="1:17" x14ac:dyDescent="0.35">
      <c r="A10" s="3"/>
      <c r="B10" s="203" t="s">
        <v>122</v>
      </c>
      <c r="C10" s="205">
        <v>2</v>
      </c>
      <c r="D10" s="212"/>
      <c r="E10" s="3"/>
      <c r="F10" s="203"/>
      <c r="G10" s="205"/>
      <c r="H10" s="212"/>
      <c r="I10" s="3"/>
      <c r="J10" s="203" t="s">
        <v>148</v>
      </c>
      <c r="K10" s="205">
        <v>1</v>
      </c>
      <c r="L10" s="212"/>
      <c r="M10" s="3"/>
      <c r="N10" s="3"/>
    </row>
    <row r="11" spans="1:17" ht="15" thickBot="1" x14ac:dyDescent="0.4">
      <c r="A11" s="3"/>
      <c r="B11" s="203" t="s">
        <v>123</v>
      </c>
      <c r="C11" s="205">
        <v>1</v>
      </c>
      <c r="D11" s="212"/>
      <c r="E11" s="3"/>
      <c r="F11" s="204"/>
      <c r="G11" s="206"/>
      <c r="H11" s="216"/>
      <c r="I11" s="3"/>
      <c r="J11" s="203" t="s">
        <v>144</v>
      </c>
      <c r="K11" s="205">
        <v>1</v>
      </c>
      <c r="L11" s="212"/>
      <c r="M11" s="3"/>
      <c r="N11" s="3"/>
    </row>
    <row r="12" spans="1:17" ht="15" thickBot="1" x14ac:dyDescent="0.4">
      <c r="A12" s="3"/>
      <c r="B12" s="203" t="s">
        <v>149</v>
      </c>
      <c r="C12" s="205">
        <v>2</v>
      </c>
      <c r="D12" s="212"/>
      <c r="E12" s="3"/>
      <c r="F12" s="3"/>
      <c r="G12" s="3"/>
      <c r="H12" s="3"/>
      <c r="I12" s="3"/>
      <c r="J12" s="203" t="s">
        <v>161</v>
      </c>
      <c r="K12" s="205">
        <v>1</v>
      </c>
      <c r="L12" s="212"/>
      <c r="M12" s="3"/>
      <c r="N12" s="3"/>
    </row>
    <row r="13" spans="1:17" ht="15" thickBot="1" x14ac:dyDescent="0.4">
      <c r="A13" s="3"/>
      <c r="B13" s="203" t="s">
        <v>151</v>
      </c>
      <c r="C13" s="205">
        <v>3</v>
      </c>
      <c r="D13" s="212"/>
      <c r="E13" s="3"/>
      <c r="F13" s="294" t="s">
        <v>102</v>
      </c>
      <c r="G13" s="295"/>
      <c r="H13" s="296"/>
      <c r="I13" s="3"/>
      <c r="J13" s="203" t="s">
        <v>157</v>
      </c>
      <c r="K13" s="205">
        <v>1</v>
      </c>
      <c r="L13" s="208"/>
      <c r="M13" s="3"/>
      <c r="N13" s="3"/>
    </row>
    <row r="14" spans="1:17" ht="15" thickBot="1" x14ac:dyDescent="0.4">
      <c r="A14" s="3"/>
      <c r="B14" s="203" t="s">
        <v>150</v>
      </c>
      <c r="C14" s="205">
        <v>2</v>
      </c>
      <c r="D14" s="212"/>
      <c r="E14" s="3"/>
      <c r="F14" s="223" t="s">
        <v>104</v>
      </c>
      <c r="G14" s="232" t="s">
        <v>103</v>
      </c>
      <c r="H14" s="233"/>
      <c r="I14" s="3"/>
      <c r="J14" s="203"/>
      <c r="K14" s="205"/>
      <c r="L14" s="208"/>
      <c r="M14" s="3"/>
      <c r="N14" s="3"/>
    </row>
    <row r="15" spans="1:17" x14ac:dyDescent="0.35">
      <c r="A15" s="3"/>
      <c r="B15" s="203" t="s">
        <v>152</v>
      </c>
      <c r="C15" s="205">
        <v>3</v>
      </c>
      <c r="D15" s="212"/>
      <c r="E15" s="3"/>
      <c r="F15" s="217" t="s">
        <v>126</v>
      </c>
      <c r="G15" s="218">
        <v>1</v>
      </c>
      <c r="H15" s="207"/>
      <c r="I15" s="3"/>
      <c r="J15" s="203"/>
      <c r="K15" s="205"/>
      <c r="L15" s="208"/>
      <c r="M15" s="3"/>
      <c r="N15" s="3"/>
    </row>
    <row r="16" spans="1:17" ht="15" thickBot="1" x14ac:dyDescent="0.4">
      <c r="A16" s="3"/>
      <c r="B16" s="203" t="s">
        <v>153</v>
      </c>
      <c r="C16" s="205">
        <v>1</v>
      </c>
      <c r="D16" s="212"/>
      <c r="E16" s="3"/>
      <c r="F16" s="203" t="s">
        <v>159</v>
      </c>
      <c r="G16" s="205">
        <v>1</v>
      </c>
      <c r="H16" s="208"/>
      <c r="I16" s="3"/>
      <c r="J16" s="204"/>
      <c r="K16" s="206"/>
      <c r="L16" s="209"/>
      <c r="M16" s="3"/>
      <c r="N16" s="3"/>
    </row>
    <row r="17" spans="1:14" ht="15" thickBot="1" x14ac:dyDescent="0.4">
      <c r="A17" s="3"/>
      <c r="B17" s="203" t="s">
        <v>154</v>
      </c>
      <c r="C17" s="205">
        <v>1</v>
      </c>
      <c r="D17" s="212"/>
      <c r="E17" s="3"/>
      <c r="F17" s="203" t="s">
        <v>124</v>
      </c>
      <c r="G17" s="205">
        <v>2</v>
      </c>
      <c r="H17" s="208"/>
      <c r="I17" s="3"/>
      <c r="J17" s="3"/>
      <c r="K17" s="3"/>
      <c r="L17" s="3"/>
      <c r="M17" s="3"/>
      <c r="N17" s="3"/>
    </row>
    <row r="18" spans="1:14" x14ac:dyDescent="0.35">
      <c r="A18" s="3"/>
      <c r="B18" s="203" t="s">
        <v>155</v>
      </c>
      <c r="C18" s="205">
        <v>1</v>
      </c>
      <c r="D18" s="212"/>
      <c r="E18" s="3"/>
      <c r="F18" s="203" t="s">
        <v>125</v>
      </c>
      <c r="G18" s="205">
        <v>2</v>
      </c>
      <c r="H18" s="212"/>
      <c r="I18" s="3"/>
      <c r="J18" s="297" t="s">
        <v>106</v>
      </c>
      <c r="K18" s="298"/>
      <c r="L18" s="299"/>
      <c r="M18" s="3"/>
      <c r="N18" s="3"/>
    </row>
    <row r="19" spans="1:14" ht="15" thickBot="1" x14ac:dyDescent="0.4">
      <c r="A19" s="3"/>
      <c r="B19" s="203" t="s">
        <v>108</v>
      </c>
      <c r="C19" s="205">
        <v>1</v>
      </c>
      <c r="D19" s="212"/>
      <c r="E19" s="3"/>
      <c r="F19" s="203" t="s">
        <v>127</v>
      </c>
      <c r="G19" s="205">
        <v>1</v>
      </c>
      <c r="H19" s="212"/>
      <c r="I19" s="3"/>
      <c r="J19" s="213" t="s">
        <v>104</v>
      </c>
      <c r="K19" s="214" t="s">
        <v>103</v>
      </c>
      <c r="L19" s="215"/>
      <c r="M19" s="3"/>
      <c r="N19" s="3"/>
    </row>
    <row r="20" spans="1:14" x14ac:dyDescent="0.35">
      <c r="A20" s="3"/>
      <c r="B20" s="203" t="s">
        <v>109</v>
      </c>
      <c r="C20" s="205">
        <v>1</v>
      </c>
      <c r="D20" s="212"/>
      <c r="E20" s="3"/>
      <c r="F20" s="203" t="s">
        <v>158</v>
      </c>
      <c r="G20" s="205">
        <v>1</v>
      </c>
      <c r="H20" s="208"/>
      <c r="I20" s="3"/>
      <c r="J20" s="210" t="s">
        <v>131</v>
      </c>
      <c r="K20" s="211">
        <v>1</v>
      </c>
      <c r="L20" s="212"/>
      <c r="M20" s="3"/>
      <c r="N20" s="3"/>
    </row>
    <row r="21" spans="1:14" x14ac:dyDescent="0.35">
      <c r="A21" s="3"/>
      <c r="B21" s="203" t="s">
        <v>120</v>
      </c>
      <c r="C21" s="205">
        <v>1</v>
      </c>
      <c r="D21" s="212"/>
      <c r="E21" s="3"/>
      <c r="F21" s="203" t="s">
        <v>160</v>
      </c>
      <c r="G21" s="205">
        <v>1</v>
      </c>
      <c r="H21" s="208"/>
      <c r="I21" s="3"/>
      <c r="J21" s="203" t="s">
        <v>132</v>
      </c>
      <c r="K21" s="205">
        <v>2</v>
      </c>
      <c r="L21" s="212"/>
      <c r="M21" s="3"/>
      <c r="N21" s="3"/>
    </row>
    <row r="22" spans="1:14" x14ac:dyDescent="0.35">
      <c r="A22" s="3"/>
      <c r="B22" s="203" t="s">
        <v>121</v>
      </c>
      <c r="C22" s="205">
        <v>1</v>
      </c>
      <c r="D22" s="212"/>
      <c r="E22" s="3"/>
      <c r="F22" s="203"/>
      <c r="G22" s="205"/>
      <c r="H22" s="208"/>
      <c r="I22" s="3"/>
      <c r="J22" s="203" t="s">
        <v>133</v>
      </c>
      <c r="K22" s="205">
        <v>1</v>
      </c>
      <c r="L22" s="212"/>
      <c r="M22" s="3"/>
      <c r="N22" s="3"/>
    </row>
    <row r="23" spans="1:14" x14ac:dyDescent="0.35">
      <c r="A23" s="3"/>
      <c r="B23" s="203" t="s">
        <v>156</v>
      </c>
      <c r="C23" s="205"/>
      <c r="D23" s="212"/>
      <c r="E23" s="3"/>
      <c r="F23" s="203"/>
      <c r="G23" s="205"/>
      <c r="H23" s="208"/>
      <c r="I23" s="3"/>
      <c r="J23" s="203" t="s">
        <v>134</v>
      </c>
      <c r="K23" s="205">
        <v>1</v>
      </c>
      <c r="L23" s="212"/>
      <c r="M23" s="3"/>
      <c r="N23" s="3"/>
    </row>
    <row r="24" spans="1:14" x14ac:dyDescent="0.35">
      <c r="A24" s="3"/>
      <c r="B24" s="203"/>
      <c r="C24" s="205"/>
      <c r="D24" s="212"/>
      <c r="E24" s="3"/>
      <c r="F24" s="203"/>
      <c r="G24" s="205"/>
      <c r="H24" s="208"/>
      <c r="I24" s="3"/>
      <c r="J24" s="203" t="s">
        <v>135</v>
      </c>
      <c r="K24" s="205">
        <v>1</v>
      </c>
      <c r="L24" s="212"/>
      <c r="M24" s="3"/>
      <c r="N24" s="3"/>
    </row>
    <row r="25" spans="1:14" ht="15" thickBot="1" x14ac:dyDescent="0.4">
      <c r="A25" s="3"/>
      <c r="B25" s="203"/>
      <c r="C25" s="205"/>
      <c r="D25" s="212"/>
      <c r="E25" s="3"/>
      <c r="F25" s="204"/>
      <c r="G25" s="206"/>
      <c r="H25" s="209"/>
      <c r="I25" s="3"/>
      <c r="J25" s="203" t="s">
        <v>136</v>
      </c>
      <c r="K25" s="205">
        <v>1</v>
      </c>
      <c r="L25" s="212"/>
      <c r="M25" s="3"/>
      <c r="N25" s="3"/>
    </row>
    <row r="26" spans="1:14" ht="15" thickBot="1" x14ac:dyDescent="0.4">
      <c r="A26" s="3"/>
      <c r="B26" s="203"/>
      <c r="C26" s="205"/>
      <c r="D26" s="212"/>
      <c r="E26" s="3"/>
      <c r="F26" s="3"/>
      <c r="G26" s="3"/>
      <c r="H26" s="3"/>
      <c r="I26" s="3"/>
      <c r="J26" s="203" t="s">
        <v>137</v>
      </c>
      <c r="K26" s="205">
        <v>1</v>
      </c>
      <c r="L26" s="212"/>
      <c r="M26" s="3"/>
      <c r="N26" s="3"/>
    </row>
    <row r="27" spans="1:14" x14ac:dyDescent="0.35">
      <c r="A27" s="3"/>
      <c r="B27" s="203"/>
      <c r="C27" s="205"/>
      <c r="D27" s="212"/>
      <c r="E27" s="3"/>
      <c r="F27" s="297" t="s">
        <v>101</v>
      </c>
      <c r="G27" s="298"/>
      <c r="H27" s="299"/>
      <c r="I27" s="3"/>
      <c r="J27" s="203" t="s">
        <v>141</v>
      </c>
      <c r="K27" s="205">
        <v>1</v>
      </c>
      <c r="L27" s="212"/>
      <c r="M27" s="3"/>
      <c r="N27" s="3"/>
    </row>
    <row r="28" spans="1:14" ht="15" thickBot="1" x14ac:dyDescent="0.4">
      <c r="A28" s="3"/>
      <c r="B28" s="203"/>
      <c r="C28" s="205"/>
      <c r="D28" s="212"/>
      <c r="E28" s="3"/>
      <c r="F28" s="213" t="s">
        <v>104</v>
      </c>
      <c r="G28" s="214" t="s">
        <v>103</v>
      </c>
      <c r="H28" s="215"/>
      <c r="I28" s="3"/>
      <c r="J28" s="203" t="s">
        <v>142</v>
      </c>
      <c r="K28" s="205">
        <v>1</v>
      </c>
      <c r="L28" s="212"/>
      <c r="M28" s="3"/>
      <c r="N28" s="3"/>
    </row>
    <row r="29" spans="1:14" x14ac:dyDescent="0.35">
      <c r="A29" s="3"/>
      <c r="B29" s="203"/>
      <c r="C29" s="205"/>
      <c r="D29" s="212"/>
      <c r="E29" s="3"/>
      <c r="F29" s="210" t="s">
        <v>115</v>
      </c>
      <c r="G29" s="211">
        <v>1</v>
      </c>
      <c r="H29" s="212"/>
      <c r="I29" s="3"/>
      <c r="J29" s="203" t="s">
        <v>138</v>
      </c>
      <c r="K29" s="205"/>
      <c r="L29" s="212"/>
      <c r="M29" s="3"/>
      <c r="N29" s="3"/>
    </row>
    <row r="30" spans="1:14" x14ac:dyDescent="0.35">
      <c r="A30" s="3"/>
      <c r="B30" s="203"/>
      <c r="C30" s="205"/>
      <c r="D30" s="212"/>
      <c r="E30" s="3"/>
      <c r="F30" s="203" t="s">
        <v>116</v>
      </c>
      <c r="G30" s="205">
        <v>1</v>
      </c>
      <c r="H30" s="212"/>
      <c r="I30" s="3"/>
      <c r="J30" s="203" t="s">
        <v>139</v>
      </c>
      <c r="K30" s="205"/>
      <c r="L30" s="212"/>
      <c r="M30" s="3"/>
      <c r="N30" s="3"/>
    </row>
    <row r="31" spans="1:14" x14ac:dyDescent="0.35">
      <c r="A31" s="3"/>
      <c r="B31" s="203"/>
      <c r="C31" s="205"/>
      <c r="D31" s="212"/>
      <c r="E31" s="3"/>
      <c r="F31" s="203" t="s">
        <v>117</v>
      </c>
      <c r="G31" s="205">
        <v>1</v>
      </c>
      <c r="H31" s="212"/>
      <c r="I31" s="3"/>
      <c r="J31" s="203" t="s">
        <v>140</v>
      </c>
      <c r="K31" s="205"/>
      <c r="L31" s="212"/>
      <c r="M31" s="3"/>
      <c r="N31" s="3"/>
    </row>
    <row r="32" spans="1:14" x14ac:dyDescent="0.35">
      <c r="A32" s="3"/>
      <c r="B32" s="203"/>
      <c r="C32" s="205"/>
      <c r="D32" s="212"/>
      <c r="E32" s="3"/>
      <c r="F32" s="203"/>
      <c r="G32" s="205"/>
      <c r="H32" s="212"/>
      <c r="I32" s="3"/>
      <c r="J32" s="203"/>
      <c r="K32" s="205"/>
      <c r="L32" s="212"/>
      <c r="M32" s="3"/>
      <c r="N32" s="3"/>
    </row>
    <row r="33" spans="1:14" ht="15" thickBot="1" x14ac:dyDescent="0.4">
      <c r="A33" s="3"/>
      <c r="B33" s="204"/>
      <c r="C33" s="206"/>
      <c r="D33" s="216"/>
      <c r="E33" s="3"/>
      <c r="F33" s="204"/>
      <c r="G33" s="206"/>
      <c r="H33" s="216"/>
      <c r="I33" s="3"/>
      <c r="J33" s="204"/>
      <c r="K33" s="206"/>
      <c r="L33" s="216"/>
      <c r="M33" s="3"/>
      <c r="N33" s="3"/>
    </row>
    <row r="34" spans="1:14" x14ac:dyDescent="0.35">
      <c r="A34" s="3"/>
      <c r="B34" s="3"/>
      <c r="C34" s="3"/>
      <c r="D34" s="3"/>
      <c r="E34" s="3"/>
      <c r="F34" s="3"/>
      <c r="G34" s="3"/>
      <c r="H34" s="3"/>
      <c r="I34" s="3"/>
      <c r="J34" s="3"/>
      <c r="K34" s="3"/>
      <c r="L34" s="3"/>
      <c r="M34" s="3"/>
      <c r="N34" s="3"/>
    </row>
  </sheetData>
  <mergeCells count="5">
    <mergeCell ref="F2:H2"/>
    <mergeCell ref="F13:H13"/>
    <mergeCell ref="B5:D5"/>
    <mergeCell ref="F27:H27"/>
    <mergeCell ref="J18:L18"/>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9458" r:id="rId4" name="Check Box 2">
              <controlPr defaultSize="0" autoFill="0" autoLine="0" autoPict="0">
                <anchor moveWithCells="1">
                  <from>
                    <xdr:col>3</xdr:col>
                    <xdr:colOff>0</xdr:colOff>
                    <xdr:row>5</xdr:row>
                    <xdr:rowOff>171450</xdr:rowOff>
                  </from>
                  <to>
                    <xdr:col>5</xdr:col>
                    <xdr:colOff>0</xdr:colOff>
                    <xdr:row>7</xdr:row>
                    <xdr:rowOff>12700</xdr:rowOff>
                  </to>
                </anchor>
              </controlPr>
            </control>
          </mc:Choice>
        </mc:AlternateContent>
        <mc:AlternateContent xmlns:mc="http://schemas.openxmlformats.org/markup-compatibility/2006">
          <mc:Choice Requires="x14">
            <control shapeId="19459" r:id="rId5" name="Check Box 3">
              <controlPr defaultSize="0" autoFill="0" autoLine="0" autoPict="0">
                <anchor moveWithCells="1">
                  <from>
                    <xdr:col>3</xdr:col>
                    <xdr:colOff>0</xdr:colOff>
                    <xdr:row>6</xdr:row>
                    <xdr:rowOff>171450</xdr:rowOff>
                  </from>
                  <to>
                    <xdr:col>5</xdr:col>
                    <xdr:colOff>0</xdr:colOff>
                    <xdr:row>8</xdr:row>
                    <xdr:rowOff>19050</xdr:rowOff>
                  </to>
                </anchor>
              </controlPr>
            </control>
          </mc:Choice>
        </mc:AlternateContent>
        <mc:AlternateContent xmlns:mc="http://schemas.openxmlformats.org/markup-compatibility/2006">
          <mc:Choice Requires="x14">
            <control shapeId="19460" r:id="rId6" name="Check Box 4">
              <controlPr defaultSize="0" autoFill="0" autoLine="0" autoPict="0">
                <anchor moveWithCells="1">
                  <from>
                    <xdr:col>3</xdr:col>
                    <xdr:colOff>0</xdr:colOff>
                    <xdr:row>7</xdr:row>
                    <xdr:rowOff>171450</xdr:rowOff>
                  </from>
                  <to>
                    <xdr:col>5</xdr:col>
                    <xdr:colOff>0</xdr:colOff>
                    <xdr:row>9</xdr:row>
                    <xdr:rowOff>19050</xdr:rowOff>
                  </to>
                </anchor>
              </controlPr>
            </control>
          </mc:Choice>
        </mc:AlternateContent>
        <mc:AlternateContent xmlns:mc="http://schemas.openxmlformats.org/markup-compatibility/2006">
          <mc:Choice Requires="x14">
            <control shapeId="19461" r:id="rId7" name="Check Box 5">
              <controlPr defaultSize="0" autoFill="0" autoLine="0" autoPict="0">
                <anchor moveWithCells="1">
                  <from>
                    <xdr:col>3</xdr:col>
                    <xdr:colOff>0</xdr:colOff>
                    <xdr:row>8</xdr:row>
                    <xdr:rowOff>171450</xdr:rowOff>
                  </from>
                  <to>
                    <xdr:col>5</xdr:col>
                    <xdr:colOff>0</xdr:colOff>
                    <xdr:row>10</xdr:row>
                    <xdr:rowOff>19050</xdr:rowOff>
                  </to>
                </anchor>
              </controlPr>
            </control>
          </mc:Choice>
        </mc:AlternateContent>
        <mc:AlternateContent xmlns:mc="http://schemas.openxmlformats.org/markup-compatibility/2006">
          <mc:Choice Requires="x14">
            <control shapeId="19462" r:id="rId8" name="Check Box 6">
              <controlPr defaultSize="0" autoFill="0" autoLine="0" autoPict="0">
                <anchor moveWithCells="1">
                  <from>
                    <xdr:col>3</xdr:col>
                    <xdr:colOff>0</xdr:colOff>
                    <xdr:row>9</xdr:row>
                    <xdr:rowOff>171450</xdr:rowOff>
                  </from>
                  <to>
                    <xdr:col>5</xdr:col>
                    <xdr:colOff>0</xdr:colOff>
                    <xdr:row>11</xdr:row>
                    <xdr:rowOff>12700</xdr:rowOff>
                  </to>
                </anchor>
              </controlPr>
            </control>
          </mc:Choice>
        </mc:AlternateContent>
        <mc:AlternateContent xmlns:mc="http://schemas.openxmlformats.org/markup-compatibility/2006">
          <mc:Choice Requires="x14">
            <control shapeId="19463" r:id="rId9" name="Check Box 7">
              <controlPr defaultSize="0" autoFill="0" autoLine="0" autoPict="0">
                <anchor moveWithCells="1">
                  <from>
                    <xdr:col>3</xdr:col>
                    <xdr:colOff>0</xdr:colOff>
                    <xdr:row>10</xdr:row>
                    <xdr:rowOff>171450</xdr:rowOff>
                  </from>
                  <to>
                    <xdr:col>5</xdr:col>
                    <xdr:colOff>0</xdr:colOff>
                    <xdr:row>12</xdr:row>
                    <xdr:rowOff>6350</xdr:rowOff>
                  </to>
                </anchor>
              </controlPr>
            </control>
          </mc:Choice>
        </mc:AlternateContent>
        <mc:AlternateContent xmlns:mc="http://schemas.openxmlformats.org/markup-compatibility/2006">
          <mc:Choice Requires="x14">
            <control shapeId="19464" r:id="rId10" name="Check Box 8">
              <controlPr defaultSize="0" autoFill="0" autoLine="0" autoPict="0">
                <anchor moveWithCells="1">
                  <from>
                    <xdr:col>3</xdr:col>
                    <xdr:colOff>0</xdr:colOff>
                    <xdr:row>11</xdr:row>
                    <xdr:rowOff>171450</xdr:rowOff>
                  </from>
                  <to>
                    <xdr:col>5</xdr:col>
                    <xdr:colOff>0</xdr:colOff>
                    <xdr:row>13</xdr:row>
                    <xdr:rowOff>6350</xdr:rowOff>
                  </to>
                </anchor>
              </controlPr>
            </control>
          </mc:Choice>
        </mc:AlternateContent>
        <mc:AlternateContent xmlns:mc="http://schemas.openxmlformats.org/markup-compatibility/2006">
          <mc:Choice Requires="x14">
            <control shapeId="19465" r:id="rId11" name="Check Box 9">
              <controlPr defaultSize="0" autoFill="0" autoLine="0" autoPict="0">
                <anchor moveWithCells="1">
                  <from>
                    <xdr:col>3</xdr:col>
                    <xdr:colOff>0</xdr:colOff>
                    <xdr:row>12</xdr:row>
                    <xdr:rowOff>171450</xdr:rowOff>
                  </from>
                  <to>
                    <xdr:col>5</xdr:col>
                    <xdr:colOff>0</xdr:colOff>
                    <xdr:row>14</xdr:row>
                    <xdr:rowOff>6350</xdr:rowOff>
                  </to>
                </anchor>
              </controlPr>
            </control>
          </mc:Choice>
        </mc:AlternateContent>
        <mc:AlternateContent xmlns:mc="http://schemas.openxmlformats.org/markup-compatibility/2006">
          <mc:Choice Requires="x14">
            <control shapeId="19466" r:id="rId12" name="Check Box 10">
              <controlPr defaultSize="0" autoFill="0" autoLine="0" autoPict="0">
                <anchor moveWithCells="1">
                  <from>
                    <xdr:col>3</xdr:col>
                    <xdr:colOff>0</xdr:colOff>
                    <xdr:row>13</xdr:row>
                    <xdr:rowOff>171450</xdr:rowOff>
                  </from>
                  <to>
                    <xdr:col>5</xdr:col>
                    <xdr:colOff>0</xdr:colOff>
                    <xdr:row>15</xdr:row>
                    <xdr:rowOff>12700</xdr:rowOff>
                  </to>
                </anchor>
              </controlPr>
            </control>
          </mc:Choice>
        </mc:AlternateContent>
        <mc:AlternateContent xmlns:mc="http://schemas.openxmlformats.org/markup-compatibility/2006">
          <mc:Choice Requires="x14">
            <control shapeId="19467" r:id="rId13" name="Check Box 11">
              <controlPr defaultSize="0" autoFill="0" autoLine="0" autoPict="0">
                <anchor moveWithCells="1">
                  <from>
                    <xdr:col>3</xdr:col>
                    <xdr:colOff>0</xdr:colOff>
                    <xdr:row>14</xdr:row>
                    <xdr:rowOff>171450</xdr:rowOff>
                  </from>
                  <to>
                    <xdr:col>5</xdr:col>
                    <xdr:colOff>0</xdr:colOff>
                    <xdr:row>16</xdr:row>
                    <xdr:rowOff>12700</xdr:rowOff>
                  </to>
                </anchor>
              </controlPr>
            </control>
          </mc:Choice>
        </mc:AlternateContent>
        <mc:AlternateContent xmlns:mc="http://schemas.openxmlformats.org/markup-compatibility/2006">
          <mc:Choice Requires="x14">
            <control shapeId="19468" r:id="rId14" name="Check Box 12">
              <controlPr defaultSize="0" autoFill="0" autoLine="0" autoPict="0">
                <anchor moveWithCells="1">
                  <from>
                    <xdr:col>3</xdr:col>
                    <xdr:colOff>0</xdr:colOff>
                    <xdr:row>15</xdr:row>
                    <xdr:rowOff>171450</xdr:rowOff>
                  </from>
                  <to>
                    <xdr:col>5</xdr:col>
                    <xdr:colOff>0</xdr:colOff>
                    <xdr:row>17</xdr:row>
                    <xdr:rowOff>6350</xdr:rowOff>
                  </to>
                </anchor>
              </controlPr>
            </control>
          </mc:Choice>
        </mc:AlternateContent>
        <mc:AlternateContent xmlns:mc="http://schemas.openxmlformats.org/markup-compatibility/2006">
          <mc:Choice Requires="x14">
            <control shapeId="19469" r:id="rId15" name="Check Box 13">
              <controlPr defaultSize="0" autoFill="0" autoLine="0" autoPict="0">
                <anchor moveWithCells="1">
                  <from>
                    <xdr:col>3</xdr:col>
                    <xdr:colOff>0</xdr:colOff>
                    <xdr:row>16</xdr:row>
                    <xdr:rowOff>171450</xdr:rowOff>
                  </from>
                  <to>
                    <xdr:col>5</xdr:col>
                    <xdr:colOff>0</xdr:colOff>
                    <xdr:row>18</xdr:row>
                    <xdr:rowOff>12700</xdr:rowOff>
                  </to>
                </anchor>
              </controlPr>
            </control>
          </mc:Choice>
        </mc:AlternateContent>
        <mc:AlternateContent xmlns:mc="http://schemas.openxmlformats.org/markup-compatibility/2006">
          <mc:Choice Requires="x14">
            <control shapeId="19470" r:id="rId16" name="Check Box 14">
              <controlPr defaultSize="0" autoFill="0" autoLine="0" autoPict="0">
                <anchor moveWithCells="1">
                  <from>
                    <xdr:col>3</xdr:col>
                    <xdr:colOff>0</xdr:colOff>
                    <xdr:row>17</xdr:row>
                    <xdr:rowOff>171450</xdr:rowOff>
                  </from>
                  <to>
                    <xdr:col>5</xdr:col>
                    <xdr:colOff>0</xdr:colOff>
                    <xdr:row>19</xdr:row>
                    <xdr:rowOff>12700</xdr:rowOff>
                  </to>
                </anchor>
              </controlPr>
            </control>
          </mc:Choice>
        </mc:AlternateContent>
        <mc:AlternateContent xmlns:mc="http://schemas.openxmlformats.org/markup-compatibility/2006">
          <mc:Choice Requires="x14">
            <control shapeId="19471" r:id="rId17" name="Check Box 15">
              <controlPr defaultSize="0" autoFill="0" autoLine="0" autoPict="0">
                <anchor moveWithCells="1">
                  <from>
                    <xdr:col>3</xdr:col>
                    <xdr:colOff>0</xdr:colOff>
                    <xdr:row>18</xdr:row>
                    <xdr:rowOff>171450</xdr:rowOff>
                  </from>
                  <to>
                    <xdr:col>5</xdr:col>
                    <xdr:colOff>0</xdr:colOff>
                    <xdr:row>20</xdr:row>
                    <xdr:rowOff>12700</xdr:rowOff>
                  </to>
                </anchor>
              </controlPr>
            </control>
          </mc:Choice>
        </mc:AlternateContent>
        <mc:AlternateContent xmlns:mc="http://schemas.openxmlformats.org/markup-compatibility/2006">
          <mc:Choice Requires="x14">
            <control shapeId="19472" r:id="rId18" name="Check Box 16">
              <controlPr defaultSize="0" autoFill="0" autoLine="0" autoPict="0">
                <anchor moveWithCells="1">
                  <from>
                    <xdr:col>3</xdr:col>
                    <xdr:colOff>0</xdr:colOff>
                    <xdr:row>19</xdr:row>
                    <xdr:rowOff>171450</xdr:rowOff>
                  </from>
                  <to>
                    <xdr:col>5</xdr:col>
                    <xdr:colOff>0</xdr:colOff>
                    <xdr:row>21</xdr:row>
                    <xdr:rowOff>19050</xdr:rowOff>
                  </to>
                </anchor>
              </controlPr>
            </control>
          </mc:Choice>
        </mc:AlternateContent>
        <mc:AlternateContent xmlns:mc="http://schemas.openxmlformats.org/markup-compatibility/2006">
          <mc:Choice Requires="x14">
            <control shapeId="19473" r:id="rId19" name="Check Box 17">
              <controlPr defaultSize="0" autoFill="0" autoLine="0" autoPict="0">
                <anchor moveWithCells="1">
                  <from>
                    <xdr:col>3</xdr:col>
                    <xdr:colOff>0</xdr:colOff>
                    <xdr:row>20</xdr:row>
                    <xdr:rowOff>171450</xdr:rowOff>
                  </from>
                  <to>
                    <xdr:col>5</xdr:col>
                    <xdr:colOff>0</xdr:colOff>
                    <xdr:row>22</xdr:row>
                    <xdr:rowOff>19050</xdr:rowOff>
                  </to>
                </anchor>
              </controlPr>
            </control>
          </mc:Choice>
        </mc:AlternateContent>
        <mc:AlternateContent xmlns:mc="http://schemas.openxmlformats.org/markup-compatibility/2006">
          <mc:Choice Requires="x14">
            <control shapeId="19474" r:id="rId20" name="Check Box 18">
              <controlPr defaultSize="0" autoFill="0" autoLine="0" autoPict="0">
                <anchor moveWithCells="1">
                  <from>
                    <xdr:col>3</xdr:col>
                    <xdr:colOff>0</xdr:colOff>
                    <xdr:row>21</xdr:row>
                    <xdr:rowOff>171450</xdr:rowOff>
                  </from>
                  <to>
                    <xdr:col>5</xdr:col>
                    <xdr:colOff>0</xdr:colOff>
                    <xdr:row>23</xdr:row>
                    <xdr:rowOff>19050</xdr:rowOff>
                  </to>
                </anchor>
              </controlPr>
            </control>
          </mc:Choice>
        </mc:AlternateContent>
        <mc:AlternateContent xmlns:mc="http://schemas.openxmlformats.org/markup-compatibility/2006">
          <mc:Choice Requires="x14">
            <control shapeId="19475" r:id="rId21" name="Check Box 19">
              <controlPr defaultSize="0" autoFill="0" autoLine="0" autoPict="0">
                <anchor moveWithCells="1">
                  <from>
                    <xdr:col>3</xdr:col>
                    <xdr:colOff>0</xdr:colOff>
                    <xdr:row>22</xdr:row>
                    <xdr:rowOff>171450</xdr:rowOff>
                  </from>
                  <to>
                    <xdr:col>5</xdr:col>
                    <xdr:colOff>0</xdr:colOff>
                    <xdr:row>24</xdr:row>
                    <xdr:rowOff>19050</xdr:rowOff>
                  </to>
                </anchor>
              </controlPr>
            </control>
          </mc:Choice>
        </mc:AlternateContent>
        <mc:AlternateContent xmlns:mc="http://schemas.openxmlformats.org/markup-compatibility/2006">
          <mc:Choice Requires="x14">
            <control shapeId="19476" r:id="rId22" name="Check Box 20">
              <controlPr defaultSize="0" autoFill="0" autoLine="0" autoPict="0">
                <anchor moveWithCells="1">
                  <from>
                    <xdr:col>3</xdr:col>
                    <xdr:colOff>0</xdr:colOff>
                    <xdr:row>23</xdr:row>
                    <xdr:rowOff>171450</xdr:rowOff>
                  </from>
                  <to>
                    <xdr:col>5</xdr:col>
                    <xdr:colOff>0</xdr:colOff>
                    <xdr:row>25</xdr:row>
                    <xdr:rowOff>12700</xdr:rowOff>
                  </to>
                </anchor>
              </controlPr>
            </control>
          </mc:Choice>
        </mc:AlternateContent>
        <mc:AlternateContent xmlns:mc="http://schemas.openxmlformats.org/markup-compatibility/2006">
          <mc:Choice Requires="x14">
            <control shapeId="19477" r:id="rId23" name="Check Box 21">
              <controlPr defaultSize="0" autoFill="0" autoLine="0" autoPict="0">
                <anchor moveWithCells="1">
                  <from>
                    <xdr:col>3</xdr:col>
                    <xdr:colOff>0</xdr:colOff>
                    <xdr:row>24</xdr:row>
                    <xdr:rowOff>171450</xdr:rowOff>
                  </from>
                  <to>
                    <xdr:col>5</xdr:col>
                    <xdr:colOff>0</xdr:colOff>
                    <xdr:row>26</xdr:row>
                    <xdr:rowOff>6350</xdr:rowOff>
                  </to>
                </anchor>
              </controlPr>
            </control>
          </mc:Choice>
        </mc:AlternateContent>
        <mc:AlternateContent xmlns:mc="http://schemas.openxmlformats.org/markup-compatibility/2006">
          <mc:Choice Requires="x14">
            <control shapeId="19478" r:id="rId24" name="Check Box 22">
              <controlPr defaultSize="0" autoFill="0" autoLine="0" autoPict="0">
                <anchor moveWithCells="1">
                  <from>
                    <xdr:col>3</xdr:col>
                    <xdr:colOff>0</xdr:colOff>
                    <xdr:row>25</xdr:row>
                    <xdr:rowOff>171450</xdr:rowOff>
                  </from>
                  <to>
                    <xdr:col>5</xdr:col>
                    <xdr:colOff>0</xdr:colOff>
                    <xdr:row>27</xdr:row>
                    <xdr:rowOff>12700</xdr:rowOff>
                  </to>
                </anchor>
              </controlPr>
            </control>
          </mc:Choice>
        </mc:AlternateContent>
        <mc:AlternateContent xmlns:mc="http://schemas.openxmlformats.org/markup-compatibility/2006">
          <mc:Choice Requires="x14">
            <control shapeId="19479" r:id="rId25" name="Check Box 23">
              <controlPr defaultSize="0" autoFill="0" autoLine="0" autoPict="0">
                <anchor moveWithCells="1">
                  <from>
                    <xdr:col>3</xdr:col>
                    <xdr:colOff>0</xdr:colOff>
                    <xdr:row>26</xdr:row>
                    <xdr:rowOff>171450</xdr:rowOff>
                  </from>
                  <to>
                    <xdr:col>5</xdr:col>
                    <xdr:colOff>0</xdr:colOff>
                    <xdr:row>28</xdr:row>
                    <xdr:rowOff>12700</xdr:rowOff>
                  </to>
                </anchor>
              </controlPr>
            </control>
          </mc:Choice>
        </mc:AlternateContent>
        <mc:AlternateContent xmlns:mc="http://schemas.openxmlformats.org/markup-compatibility/2006">
          <mc:Choice Requires="x14">
            <control shapeId="19480" r:id="rId26" name="Check Box 24">
              <controlPr defaultSize="0" autoFill="0" autoLine="0" autoPict="0">
                <anchor moveWithCells="1">
                  <from>
                    <xdr:col>3</xdr:col>
                    <xdr:colOff>0</xdr:colOff>
                    <xdr:row>27</xdr:row>
                    <xdr:rowOff>171450</xdr:rowOff>
                  </from>
                  <to>
                    <xdr:col>5</xdr:col>
                    <xdr:colOff>0</xdr:colOff>
                    <xdr:row>29</xdr:row>
                    <xdr:rowOff>12700</xdr:rowOff>
                  </to>
                </anchor>
              </controlPr>
            </control>
          </mc:Choice>
        </mc:AlternateContent>
        <mc:AlternateContent xmlns:mc="http://schemas.openxmlformats.org/markup-compatibility/2006">
          <mc:Choice Requires="x14">
            <control shapeId="19481" r:id="rId27" name="Check Box 25">
              <controlPr defaultSize="0" autoFill="0" autoLine="0" autoPict="0">
                <anchor moveWithCells="1">
                  <from>
                    <xdr:col>3</xdr:col>
                    <xdr:colOff>0</xdr:colOff>
                    <xdr:row>28</xdr:row>
                    <xdr:rowOff>171450</xdr:rowOff>
                  </from>
                  <to>
                    <xdr:col>5</xdr:col>
                    <xdr:colOff>0</xdr:colOff>
                    <xdr:row>30</xdr:row>
                    <xdr:rowOff>19050</xdr:rowOff>
                  </to>
                </anchor>
              </controlPr>
            </control>
          </mc:Choice>
        </mc:AlternateContent>
        <mc:AlternateContent xmlns:mc="http://schemas.openxmlformats.org/markup-compatibility/2006">
          <mc:Choice Requires="x14">
            <control shapeId="19482" r:id="rId28" name="Check Box 26">
              <controlPr defaultSize="0" autoFill="0" autoLine="0" autoPict="0">
                <anchor moveWithCells="1">
                  <from>
                    <xdr:col>3</xdr:col>
                    <xdr:colOff>0</xdr:colOff>
                    <xdr:row>29</xdr:row>
                    <xdr:rowOff>171450</xdr:rowOff>
                  </from>
                  <to>
                    <xdr:col>5</xdr:col>
                    <xdr:colOff>0</xdr:colOff>
                    <xdr:row>31</xdr:row>
                    <xdr:rowOff>19050</xdr:rowOff>
                  </to>
                </anchor>
              </controlPr>
            </control>
          </mc:Choice>
        </mc:AlternateContent>
        <mc:AlternateContent xmlns:mc="http://schemas.openxmlformats.org/markup-compatibility/2006">
          <mc:Choice Requires="x14">
            <control shapeId="19483" r:id="rId29" name="Check Box 27">
              <controlPr defaultSize="0" autoFill="0" autoLine="0" autoPict="0">
                <anchor moveWithCells="1">
                  <from>
                    <xdr:col>3</xdr:col>
                    <xdr:colOff>0</xdr:colOff>
                    <xdr:row>30</xdr:row>
                    <xdr:rowOff>171450</xdr:rowOff>
                  </from>
                  <to>
                    <xdr:col>5</xdr:col>
                    <xdr:colOff>0</xdr:colOff>
                    <xdr:row>32</xdr:row>
                    <xdr:rowOff>19050</xdr:rowOff>
                  </to>
                </anchor>
              </controlPr>
            </control>
          </mc:Choice>
        </mc:AlternateContent>
        <mc:AlternateContent xmlns:mc="http://schemas.openxmlformats.org/markup-compatibility/2006">
          <mc:Choice Requires="x14">
            <control shapeId="19484" r:id="rId30" name="Check Box 28">
              <controlPr defaultSize="0" autoFill="0" autoLine="0" autoPict="0">
                <anchor moveWithCells="1">
                  <from>
                    <xdr:col>3</xdr:col>
                    <xdr:colOff>0</xdr:colOff>
                    <xdr:row>31</xdr:row>
                    <xdr:rowOff>171450</xdr:rowOff>
                  </from>
                  <to>
                    <xdr:col>5</xdr:col>
                    <xdr:colOff>0</xdr:colOff>
                    <xdr:row>33</xdr:row>
                    <xdr:rowOff>12700</xdr:rowOff>
                  </to>
                </anchor>
              </controlPr>
            </control>
          </mc:Choice>
        </mc:AlternateContent>
        <mc:AlternateContent xmlns:mc="http://schemas.openxmlformats.org/markup-compatibility/2006">
          <mc:Choice Requires="x14">
            <control shapeId="19485" r:id="rId31" name="Check Box 29">
              <controlPr defaultSize="0" autoFill="0" autoLine="0" autoPict="0">
                <anchor moveWithCells="1">
                  <from>
                    <xdr:col>7</xdr:col>
                    <xdr:colOff>0</xdr:colOff>
                    <xdr:row>2</xdr:row>
                    <xdr:rowOff>171450</xdr:rowOff>
                  </from>
                  <to>
                    <xdr:col>8</xdr:col>
                    <xdr:colOff>533400</xdr:colOff>
                    <xdr:row>4</xdr:row>
                    <xdr:rowOff>6350</xdr:rowOff>
                  </to>
                </anchor>
              </controlPr>
            </control>
          </mc:Choice>
        </mc:AlternateContent>
        <mc:AlternateContent xmlns:mc="http://schemas.openxmlformats.org/markup-compatibility/2006">
          <mc:Choice Requires="x14">
            <control shapeId="19486" r:id="rId32" name="Check Box 30">
              <controlPr defaultSize="0" autoFill="0" autoLine="0" autoPict="0">
                <anchor moveWithCells="1">
                  <from>
                    <xdr:col>7</xdr:col>
                    <xdr:colOff>0</xdr:colOff>
                    <xdr:row>3</xdr:row>
                    <xdr:rowOff>171450</xdr:rowOff>
                  </from>
                  <to>
                    <xdr:col>8</xdr:col>
                    <xdr:colOff>533400</xdr:colOff>
                    <xdr:row>5</xdr:row>
                    <xdr:rowOff>12700</xdr:rowOff>
                  </to>
                </anchor>
              </controlPr>
            </control>
          </mc:Choice>
        </mc:AlternateContent>
        <mc:AlternateContent xmlns:mc="http://schemas.openxmlformats.org/markup-compatibility/2006">
          <mc:Choice Requires="x14">
            <control shapeId="19487" r:id="rId33" name="Check Box 31">
              <controlPr defaultSize="0" autoFill="0" autoLine="0" autoPict="0">
                <anchor moveWithCells="1">
                  <from>
                    <xdr:col>7</xdr:col>
                    <xdr:colOff>0</xdr:colOff>
                    <xdr:row>4</xdr:row>
                    <xdr:rowOff>171450</xdr:rowOff>
                  </from>
                  <to>
                    <xdr:col>8</xdr:col>
                    <xdr:colOff>533400</xdr:colOff>
                    <xdr:row>6</xdr:row>
                    <xdr:rowOff>12700</xdr:rowOff>
                  </to>
                </anchor>
              </controlPr>
            </control>
          </mc:Choice>
        </mc:AlternateContent>
        <mc:AlternateContent xmlns:mc="http://schemas.openxmlformats.org/markup-compatibility/2006">
          <mc:Choice Requires="x14">
            <control shapeId="19488" r:id="rId34" name="Check Box 32">
              <controlPr defaultSize="0" autoFill="0" autoLine="0" autoPict="0">
                <anchor moveWithCells="1">
                  <from>
                    <xdr:col>7</xdr:col>
                    <xdr:colOff>0</xdr:colOff>
                    <xdr:row>5</xdr:row>
                    <xdr:rowOff>171450</xdr:rowOff>
                  </from>
                  <to>
                    <xdr:col>8</xdr:col>
                    <xdr:colOff>533400</xdr:colOff>
                    <xdr:row>7</xdr:row>
                    <xdr:rowOff>12700</xdr:rowOff>
                  </to>
                </anchor>
              </controlPr>
            </control>
          </mc:Choice>
        </mc:AlternateContent>
        <mc:AlternateContent xmlns:mc="http://schemas.openxmlformats.org/markup-compatibility/2006">
          <mc:Choice Requires="x14">
            <control shapeId="19489" r:id="rId35" name="Check Box 33">
              <controlPr defaultSize="0" autoFill="0" autoLine="0" autoPict="0">
                <anchor moveWithCells="1">
                  <from>
                    <xdr:col>7</xdr:col>
                    <xdr:colOff>0</xdr:colOff>
                    <xdr:row>6</xdr:row>
                    <xdr:rowOff>171450</xdr:rowOff>
                  </from>
                  <to>
                    <xdr:col>8</xdr:col>
                    <xdr:colOff>533400</xdr:colOff>
                    <xdr:row>8</xdr:row>
                    <xdr:rowOff>19050</xdr:rowOff>
                  </to>
                </anchor>
              </controlPr>
            </control>
          </mc:Choice>
        </mc:AlternateContent>
        <mc:AlternateContent xmlns:mc="http://schemas.openxmlformats.org/markup-compatibility/2006">
          <mc:Choice Requires="x14">
            <control shapeId="19490" r:id="rId36" name="Check Box 34">
              <controlPr defaultSize="0" autoFill="0" autoLine="0" autoPict="0">
                <anchor moveWithCells="1">
                  <from>
                    <xdr:col>7</xdr:col>
                    <xdr:colOff>0</xdr:colOff>
                    <xdr:row>7</xdr:row>
                    <xdr:rowOff>171450</xdr:rowOff>
                  </from>
                  <to>
                    <xdr:col>8</xdr:col>
                    <xdr:colOff>533400</xdr:colOff>
                    <xdr:row>9</xdr:row>
                    <xdr:rowOff>19050</xdr:rowOff>
                  </to>
                </anchor>
              </controlPr>
            </control>
          </mc:Choice>
        </mc:AlternateContent>
        <mc:AlternateContent xmlns:mc="http://schemas.openxmlformats.org/markup-compatibility/2006">
          <mc:Choice Requires="x14">
            <control shapeId="19491" r:id="rId37" name="Check Box 35">
              <controlPr defaultSize="0" autoFill="0" autoLine="0" autoPict="0">
                <anchor moveWithCells="1">
                  <from>
                    <xdr:col>7</xdr:col>
                    <xdr:colOff>0</xdr:colOff>
                    <xdr:row>8</xdr:row>
                    <xdr:rowOff>171450</xdr:rowOff>
                  </from>
                  <to>
                    <xdr:col>8</xdr:col>
                    <xdr:colOff>533400</xdr:colOff>
                    <xdr:row>10</xdr:row>
                    <xdr:rowOff>19050</xdr:rowOff>
                  </to>
                </anchor>
              </controlPr>
            </control>
          </mc:Choice>
        </mc:AlternateContent>
        <mc:AlternateContent xmlns:mc="http://schemas.openxmlformats.org/markup-compatibility/2006">
          <mc:Choice Requires="x14">
            <control shapeId="19492" r:id="rId38" name="Check Box 36">
              <controlPr defaultSize="0" autoFill="0" autoLine="0" autoPict="0">
                <anchor moveWithCells="1">
                  <from>
                    <xdr:col>7</xdr:col>
                    <xdr:colOff>0</xdr:colOff>
                    <xdr:row>9</xdr:row>
                    <xdr:rowOff>171450</xdr:rowOff>
                  </from>
                  <to>
                    <xdr:col>8</xdr:col>
                    <xdr:colOff>533400</xdr:colOff>
                    <xdr:row>11</xdr:row>
                    <xdr:rowOff>12700</xdr:rowOff>
                  </to>
                </anchor>
              </controlPr>
            </control>
          </mc:Choice>
        </mc:AlternateContent>
        <mc:AlternateContent xmlns:mc="http://schemas.openxmlformats.org/markup-compatibility/2006">
          <mc:Choice Requires="x14">
            <control shapeId="19498" r:id="rId39" name="Check Box 42">
              <controlPr defaultSize="0" autoFill="0" autoLine="0" autoPict="0">
                <anchor moveWithCells="1">
                  <from>
                    <xdr:col>7</xdr:col>
                    <xdr:colOff>0</xdr:colOff>
                    <xdr:row>15</xdr:row>
                    <xdr:rowOff>171450</xdr:rowOff>
                  </from>
                  <to>
                    <xdr:col>8</xdr:col>
                    <xdr:colOff>533400</xdr:colOff>
                    <xdr:row>17</xdr:row>
                    <xdr:rowOff>6350</xdr:rowOff>
                  </to>
                </anchor>
              </controlPr>
            </control>
          </mc:Choice>
        </mc:AlternateContent>
        <mc:AlternateContent xmlns:mc="http://schemas.openxmlformats.org/markup-compatibility/2006">
          <mc:Choice Requires="x14">
            <control shapeId="19499" r:id="rId40" name="Check Box 43">
              <controlPr defaultSize="0" autoFill="0" autoLine="0" autoPict="0">
                <anchor moveWithCells="1">
                  <from>
                    <xdr:col>7</xdr:col>
                    <xdr:colOff>0</xdr:colOff>
                    <xdr:row>16</xdr:row>
                    <xdr:rowOff>171450</xdr:rowOff>
                  </from>
                  <to>
                    <xdr:col>8</xdr:col>
                    <xdr:colOff>533400</xdr:colOff>
                    <xdr:row>18</xdr:row>
                    <xdr:rowOff>12700</xdr:rowOff>
                  </to>
                </anchor>
              </controlPr>
            </control>
          </mc:Choice>
        </mc:AlternateContent>
        <mc:AlternateContent xmlns:mc="http://schemas.openxmlformats.org/markup-compatibility/2006">
          <mc:Choice Requires="x14">
            <control shapeId="19500" r:id="rId41" name="Check Box 44">
              <controlPr defaultSize="0" autoFill="0" autoLine="0" autoPict="0">
                <anchor moveWithCells="1">
                  <from>
                    <xdr:col>7</xdr:col>
                    <xdr:colOff>0</xdr:colOff>
                    <xdr:row>17</xdr:row>
                    <xdr:rowOff>171450</xdr:rowOff>
                  </from>
                  <to>
                    <xdr:col>8</xdr:col>
                    <xdr:colOff>533400</xdr:colOff>
                    <xdr:row>19</xdr:row>
                    <xdr:rowOff>12700</xdr:rowOff>
                  </to>
                </anchor>
              </controlPr>
            </control>
          </mc:Choice>
        </mc:AlternateContent>
        <mc:AlternateContent xmlns:mc="http://schemas.openxmlformats.org/markup-compatibility/2006">
          <mc:Choice Requires="x14">
            <control shapeId="19501" r:id="rId42" name="Check Box 45">
              <controlPr defaultSize="0" autoFill="0" autoLine="0" autoPict="0">
                <anchor moveWithCells="1">
                  <from>
                    <xdr:col>7</xdr:col>
                    <xdr:colOff>0</xdr:colOff>
                    <xdr:row>18</xdr:row>
                    <xdr:rowOff>171450</xdr:rowOff>
                  </from>
                  <to>
                    <xdr:col>8</xdr:col>
                    <xdr:colOff>533400</xdr:colOff>
                    <xdr:row>20</xdr:row>
                    <xdr:rowOff>12700</xdr:rowOff>
                  </to>
                </anchor>
              </controlPr>
            </control>
          </mc:Choice>
        </mc:AlternateContent>
        <mc:AlternateContent xmlns:mc="http://schemas.openxmlformats.org/markup-compatibility/2006">
          <mc:Choice Requires="x14">
            <control shapeId="19502" r:id="rId43" name="Check Box 46">
              <controlPr defaultSize="0" autoFill="0" autoLine="0" autoPict="0">
                <anchor moveWithCells="1">
                  <from>
                    <xdr:col>7</xdr:col>
                    <xdr:colOff>0</xdr:colOff>
                    <xdr:row>19</xdr:row>
                    <xdr:rowOff>171450</xdr:rowOff>
                  </from>
                  <to>
                    <xdr:col>8</xdr:col>
                    <xdr:colOff>533400</xdr:colOff>
                    <xdr:row>21</xdr:row>
                    <xdr:rowOff>19050</xdr:rowOff>
                  </to>
                </anchor>
              </controlPr>
            </control>
          </mc:Choice>
        </mc:AlternateContent>
        <mc:AlternateContent xmlns:mc="http://schemas.openxmlformats.org/markup-compatibility/2006">
          <mc:Choice Requires="x14">
            <control shapeId="19503" r:id="rId44" name="Check Box 47">
              <controlPr defaultSize="0" autoFill="0" autoLine="0" autoPict="0">
                <anchor moveWithCells="1">
                  <from>
                    <xdr:col>7</xdr:col>
                    <xdr:colOff>0</xdr:colOff>
                    <xdr:row>20</xdr:row>
                    <xdr:rowOff>171450</xdr:rowOff>
                  </from>
                  <to>
                    <xdr:col>8</xdr:col>
                    <xdr:colOff>533400</xdr:colOff>
                    <xdr:row>22</xdr:row>
                    <xdr:rowOff>19050</xdr:rowOff>
                  </to>
                </anchor>
              </controlPr>
            </control>
          </mc:Choice>
        </mc:AlternateContent>
        <mc:AlternateContent xmlns:mc="http://schemas.openxmlformats.org/markup-compatibility/2006">
          <mc:Choice Requires="x14">
            <control shapeId="19507" r:id="rId45" name="Check Box 51">
              <controlPr defaultSize="0" autoFill="0" autoLine="0" autoPict="0">
                <anchor moveWithCells="1">
                  <from>
                    <xdr:col>7</xdr:col>
                    <xdr:colOff>0</xdr:colOff>
                    <xdr:row>27</xdr:row>
                    <xdr:rowOff>171450</xdr:rowOff>
                  </from>
                  <to>
                    <xdr:col>8</xdr:col>
                    <xdr:colOff>533400</xdr:colOff>
                    <xdr:row>29</xdr:row>
                    <xdr:rowOff>12700</xdr:rowOff>
                  </to>
                </anchor>
              </controlPr>
            </control>
          </mc:Choice>
        </mc:AlternateContent>
        <mc:AlternateContent xmlns:mc="http://schemas.openxmlformats.org/markup-compatibility/2006">
          <mc:Choice Requires="x14">
            <control shapeId="19508" r:id="rId46" name="Check Box 52">
              <controlPr defaultSize="0" autoFill="0" autoLine="0" autoPict="0">
                <anchor moveWithCells="1">
                  <from>
                    <xdr:col>7</xdr:col>
                    <xdr:colOff>0</xdr:colOff>
                    <xdr:row>28</xdr:row>
                    <xdr:rowOff>171450</xdr:rowOff>
                  </from>
                  <to>
                    <xdr:col>8</xdr:col>
                    <xdr:colOff>533400</xdr:colOff>
                    <xdr:row>30</xdr:row>
                    <xdr:rowOff>19050</xdr:rowOff>
                  </to>
                </anchor>
              </controlPr>
            </control>
          </mc:Choice>
        </mc:AlternateContent>
        <mc:AlternateContent xmlns:mc="http://schemas.openxmlformats.org/markup-compatibility/2006">
          <mc:Choice Requires="x14">
            <control shapeId="19509" r:id="rId47" name="Check Box 53">
              <controlPr defaultSize="0" autoFill="0" autoLine="0" autoPict="0">
                <anchor moveWithCells="1">
                  <from>
                    <xdr:col>7</xdr:col>
                    <xdr:colOff>0</xdr:colOff>
                    <xdr:row>29</xdr:row>
                    <xdr:rowOff>171450</xdr:rowOff>
                  </from>
                  <to>
                    <xdr:col>8</xdr:col>
                    <xdr:colOff>533400</xdr:colOff>
                    <xdr:row>31</xdr:row>
                    <xdr:rowOff>19050</xdr:rowOff>
                  </to>
                </anchor>
              </controlPr>
            </control>
          </mc:Choice>
        </mc:AlternateContent>
        <mc:AlternateContent xmlns:mc="http://schemas.openxmlformats.org/markup-compatibility/2006">
          <mc:Choice Requires="x14">
            <control shapeId="19510" r:id="rId48" name="Check Box 54">
              <controlPr defaultSize="0" autoFill="0" autoLine="0" autoPict="0">
                <anchor moveWithCells="1">
                  <from>
                    <xdr:col>7</xdr:col>
                    <xdr:colOff>0</xdr:colOff>
                    <xdr:row>30</xdr:row>
                    <xdr:rowOff>171450</xdr:rowOff>
                  </from>
                  <to>
                    <xdr:col>8</xdr:col>
                    <xdr:colOff>533400</xdr:colOff>
                    <xdr:row>32</xdr:row>
                    <xdr:rowOff>19050</xdr:rowOff>
                  </to>
                </anchor>
              </controlPr>
            </control>
          </mc:Choice>
        </mc:AlternateContent>
        <mc:AlternateContent xmlns:mc="http://schemas.openxmlformats.org/markup-compatibility/2006">
          <mc:Choice Requires="x14">
            <control shapeId="19511" r:id="rId49" name="Check Box 55">
              <controlPr defaultSize="0" autoFill="0" autoLine="0" autoPict="0">
                <anchor moveWithCells="1">
                  <from>
                    <xdr:col>7</xdr:col>
                    <xdr:colOff>0</xdr:colOff>
                    <xdr:row>31</xdr:row>
                    <xdr:rowOff>171450</xdr:rowOff>
                  </from>
                  <to>
                    <xdr:col>8</xdr:col>
                    <xdr:colOff>533400</xdr:colOff>
                    <xdr:row>33</xdr:row>
                    <xdr:rowOff>12700</xdr:rowOff>
                  </to>
                </anchor>
              </controlPr>
            </control>
          </mc:Choice>
        </mc:AlternateContent>
        <mc:AlternateContent xmlns:mc="http://schemas.openxmlformats.org/markup-compatibility/2006">
          <mc:Choice Requires="x14">
            <control shapeId="19512" r:id="rId50" name="Check Box 56">
              <controlPr defaultSize="0" autoFill="0" autoLine="0" autoPict="0">
                <anchor moveWithCells="1">
                  <from>
                    <xdr:col>11</xdr:col>
                    <xdr:colOff>0</xdr:colOff>
                    <xdr:row>5</xdr:row>
                    <xdr:rowOff>171450</xdr:rowOff>
                  </from>
                  <to>
                    <xdr:col>13</xdr:col>
                    <xdr:colOff>285750</xdr:colOff>
                    <xdr:row>7</xdr:row>
                    <xdr:rowOff>12700</xdr:rowOff>
                  </to>
                </anchor>
              </controlPr>
            </control>
          </mc:Choice>
        </mc:AlternateContent>
        <mc:AlternateContent xmlns:mc="http://schemas.openxmlformats.org/markup-compatibility/2006">
          <mc:Choice Requires="x14">
            <control shapeId="19513" r:id="rId51" name="Check Box 57">
              <controlPr defaultSize="0" autoFill="0" autoLine="0" autoPict="0">
                <anchor moveWithCells="1">
                  <from>
                    <xdr:col>11</xdr:col>
                    <xdr:colOff>0</xdr:colOff>
                    <xdr:row>6</xdr:row>
                    <xdr:rowOff>171450</xdr:rowOff>
                  </from>
                  <to>
                    <xdr:col>13</xdr:col>
                    <xdr:colOff>285750</xdr:colOff>
                    <xdr:row>8</xdr:row>
                    <xdr:rowOff>19050</xdr:rowOff>
                  </to>
                </anchor>
              </controlPr>
            </control>
          </mc:Choice>
        </mc:AlternateContent>
        <mc:AlternateContent xmlns:mc="http://schemas.openxmlformats.org/markup-compatibility/2006">
          <mc:Choice Requires="x14">
            <control shapeId="19514" r:id="rId52" name="Check Box 58">
              <controlPr defaultSize="0" autoFill="0" autoLine="0" autoPict="0">
                <anchor moveWithCells="1">
                  <from>
                    <xdr:col>11</xdr:col>
                    <xdr:colOff>0</xdr:colOff>
                    <xdr:row>7</xdr:row>
                    <xdr:rowOff>171450</xdr:rowOff>
                  </from>
                  <to>
                    <xdr:col>13</xdr:col>
                    <xdr:colOff>285750</xdr:colOff>
                    <xdr:row>9</xdr:row>
                    <xdr:rowOff>19050</xdr:rowOff>
                  </to>
                </anchor>
              </controlPr>
            </control>
          </mc:Choice>
        </mc:AlternateContent>
        <mc:AlternateContent xmlns:mc="http://schemas.openxmlformats.org/markup-compatibility/2006">
          <mc:Choice Requires="x14">
            <control shapeId="19515" r:id="rId53" name="Check Box 59">
              <controlPr defaultSize="0" autoFill="0" autoLine="0" autoPict="0">
                <anchor moveWithCells="1">
                  <from>
                    <xdr:col>11</xdr:col>
                    <xdr:colOff>0</xdr:colOff>
                    <xdr:row>8</xdr:row>
                    <xdr:rowOff>171450</xdr:rowOff>
                  </from>
                  <to>
                    <xdr:col>13</xdr:col>
                    <xdr:colOff>285750</xdr:colOff>
                    <xdr:row>10</xdr:row>
                    <xdr:rowOff>19050</xdr:rowOff>
                  </to>
                </anchor>
              </controlPr>
            </control>
          </mc:Choice>
        </mc:AlternateContent>
        <mc:AlternateContent xmlns:mc="http://schemas.openxmlformats.org/markup-compatibility/2006">
          <mc:Choice Requires="x14">
            <control shapeId="19516" r:id="rId54" name="Check Box 60">
              <controlPr defaultSize="0" autoFill="0" autoLine="0" autoPict="0">
                <anchor moveWithCells="1">
                  <from>
                    <xdr:col>11</xdr:col>
                    <xdr:colOff>0</xdr:colOff>
                    <xdr:row>9</xdr:row>
                    <xdr:rowOff>171450</xdr:rowOff>
                  </from>
                  <to>
                    <xdr:col>13</xdr:col>
                    <xdr:colOff>285750</xdr:colOff>
                    <xdr:row>11</xdr:row>
                    <xdr:rowOff>12700</xdr:rowOff>
                  </to>
                </anchor>
              </controlPr>
            </control>
          </mc:Choice>
        </mc:AlternateContent>
        <mc:AlternateContent xmlns:mc="http://schemas.openxmlformats.org/markup-compatibility/2006">
          <mc:Choice Requires="x14">
            <control shapeId="19517" r:id="rId55" name="Check Box 61">
              <controlPr defaultSize="0" autoFill="0" autoLine="0" autoPict="0">
                <anchor moveWithCells="1">
                  <from>
                    <xdr:col>11</xdr:col>
                    <xdr:colOff>0</xdr:colOff>
                    <xdr:row>10</xdr:row>
                    <xdr:rowOff>171450</xdr:rowOff>
                  </from>
                  <to>
                    <xdr:col>13</xdr:col>
                    <xdr:colOff>285750</xdr:colOff>
                    <xdr:row>12</xdr:row>
                    <xdr:rowOff>6350</xdr:rowOff>
                  </to>
                </anchor>
              </controlPr>
            </control>
          </mc:Choice>
        </mc:AlternateContent>
        <mc:AlternateContent xmlns:mc="http://schemas.openxmlformats.org/markup-compatibility/2006">
          <mc:Choice Requires="x14">
            <control shapeId="19518" r:id="rId56" name="Check Box 62">
              <controlPr defaultSize="0" autoFill="0" autoLine="0" autoPict="0">
                <anchor moveWithCells="1">
                  <from>
                    <xdr:col>11</xdr:col>
                    <xdr:colOff>0</xdr:colOff>
                    <xdr:row>11</xdr:row>
                    <xdr:rowOff>171450</xdr:rowOff>
                  </from>
                  <to>
                    <xdr:col>13</xdr:col>
                    <xdr:colOff>285750</xdr:colOff>
                    <xdr:row>13</xdr:row>
                    <xdr:rowOff>6350</xdr:rowOff>
                  </to>
                </anchor>
              </controlPr>
            </control>
          </mc:Choice>
        </mc:AlternateContent>
        <mc:AlternateContent xmlns:mc="http://schemas.openxmlformats.org/markup-compatibility/2006">
          <mc:Choice Requires="x14">
            <control shapeId="19519" r:id="rId57" name="Check Box 63">
              <controlPr defaultSize="0" autoFill="0" autoLine="0" autoPict="0">
                <anchor moveWithCells="1">
                  <from>
                    <xdr:col>11</xdr:col>
                    <xdr:colOff>0</xdr:colOff>
                    <xdr:row>2</xdr:row>
                    <xdr:rowOff>177800</xdr:rowOff>
                  </from>
                  <to>
                    <xdr:col>13</xdr:col>
                    <xdr:colOff>285750</xdr:colOff>
                    <xdr:row>4</xdr:row>
                    <xdr:rowOff>12700</xdr:rowOff>
                  </to>
                </anchor>
              </controlPr>
            </control>
          </mc:Choice>
        </mc:AlternateContent>
        <mc:AlternateContent xmlns:mc="http://schemas.openxmlformats.org/markup-compatibility/2006">
          <mc:Choice Requires="x14">
            <control shapeId="19520" r:id="rId58" name="Check Box 64">
              <controlPr defaultSize="0" autoFill="0" autoLine="0" autoPict="0">
                <anchor moveWithCells="1">
                  <from>
                    <xdr:col>11</xdr:col>
                    <xdr:colOff>0</xdr:colOff>
                    <xdr:row>3</xdr:row>
                    <xdr:rowOff>177800</xdr:rowOff>
                  </from>
                  <to>
                    <xdr:col>13</xdr:col>
                    <xdr:colOff>285750</xdr:colOff>
                    <xdr:row>5</xdr:row>
                    <xdr:rowOff>19050</xdr:rowOff>
                  </to>
                </anchor>
              </controlPr>
            </control>
          </mc:Choice>
        </mc:AlternateContent>
        <mc:AlternateContent xmlns:mc="http://schemas.openxmlformats.org/markup-compatibility/2006">
          <mc:Choice Requires="x14">
            <control shapeId="19521" r:id="rId59" name="Check Box 65">
              <controlPr defaultSize="0" autoFill="0" autoLine="0" autoPict="0">
                <anchor moveWithCells="1">
                  <from>
                    <xdr:col>11</xdr:col>
                    <xdr:colOff>0</xdr:colOff>
                    <xdr:row>4</xdr:row>
                    <xdr:rowOff>177800</xdr:rowOff>
                  </from>
                  <to>
                    <xdr:col>13</xdr:col>
                    <xdr:colOff>285750</xdr:colOff>
                    <xdr:row>6</xdr:row>
                    <xdr:rowOff>19050</xdr:rowOff>
                  </to>
                </anchor>
              </controlPr>
            </control>
          </mc:Choice>
        </mc:AlternateContent>
        <mc:AlternateContent xmlns:mc="http://schemas.openxmlformats.org/markup-compatibility/2006">
          <mc:Choice Requires="x14">
            <control shapeId="19525" r:id="rId60" name="Check Box 69">
              <controlPr defaultSize="0" autoFill="0" autoLine="0" autoPict="0">
                <anchor moveWithCells="1">
                  <from>
                    <xdr:col>11</xdr:col>
                    <xdr:colOff>0</xdr:colOff>
                    <xdr:row>18</xdr:row>
                    <xdr:rowOff>171450</xdr:rowOff>
                  </from>
                  <to>
                    <xdr:col>13</xdr:col>
                    <xdr:colOff>285750</xdr:colOff>
                    <xdr:row>20</xdr:row>
                    <xdr:rowOff>12700</xdr:rowOff>
                  </to>
                </anchor>
              </controlPr>
            </control>
          </mc:Choice>
        </mc:AlternateContent>
        <mc:AlternateContent xmlns:mc="http://schemas.openxmlformats.org/markup-compatibility/2006">
          <mc:Choice Requires="x14">
            <control shapeId="19526" r:id="rId61" name="Check Box 70">
              <controlPr defaultSize="0" autoFill="0" autoLine="0" autoPict="0">
                <anchor moveWithCells="1">
                  <from>
                    <xdr:col>11</xdr:col>
                    <xdr:colOff>0</xdr:colOff>
                    <xdr:row>19</xdr:row>
                    <xdr:rowOff>171450</xdr:rowOff>
                  </from>
                  <to>
                    <xdr:col>13</xdr:col>
                    <xdr:colOff>285750</xdr:colOff>
                    <xdr:row>21</xdr:row>
                    <xdr:rowOff>19050</xdr:rowOff>
                  </to>
                </anchor>
              </controlPr>
            </control>
          </mc:Choice>
        </mc:AlternateContent>
        <mc:AlternateContent xmlns:mc="http://schemas.openxmlformats.org/markup-compatibility/2006">
          <mc:Choice Requires="x14">
            <control shapeId="19527" r:id="rId62" name="Check Box 71">
              <controlPr defaultSize="0" autoFill="0" autoLine="0" autoPict="0">
                <anchor moveWithCells="1">
                  <from>
                    <xdr:col>11</xdr:col>
                    <xdr:colOff>0</xdr:colOff>
                    <xdr:row>20</xdr:row>
                    <xdr:rowOff>171450</xdr:rowOff>
                  </from>
                  <to>
                    <xdr:col>13</xdr:col>
                    <xdr:colOff>285750</xdr:colOff>
                    <xdr:row>22</xdr:row>
                    <xdr:rowOff>19050</xdr:rowOff>
                  </to>
                </anchor>
              </controlPr>
            </control>
          </mc:Choice>
        </mc:AlternateContent>
        <mc:AlternateContent xmlns:mc="http://schemas.openxmlformats.org/markup-compatibility/2006">
          <mc:Choice Requires="x14">
            <control shapeId="19528" r:id="rId63" name="Check Box 72">
              <controlPr defaultSize="0" autoFill="0" autoLine="0" autoPict="0">
                <anchor moveWithCells="1">
                  <from>
                    <xdr:col>11</xdr:col>
                    <xdr:colOff>0</xdr:colOff>
                    <xdr:row>21</xdr:row>
                    <xdr:rowOff>171450</xdr:rowOff>
                  </from>
                  <to>
                    <xdr:col>13</xdr:col>
                    <xdr:colOff>285750</xdr:colOff>
                    <xdr:row>23</xdr:row>
                    <xdr:rowOff>19050</xdr:rowOff>
                  </to>
                </anchor>
              </controlPr>
            </control>
          </mc:Choice>
        </mc:AlternateContent>
        <mc:AlternateContent xmlns:mc="http://schemas.openxmlformats.org/markup-compatibility/2006">
          <mc:Choice Requires="x14">
            <control shapeId="19529" r:id="rId64" name="Check Box 73">
              <controlPr defaultSize="0" autoFill="0" autoLine="0" autoPict="0">
                <anchor moveWithCells="1">
                  <from>
                    <xdr:col>11</xdr:col>
                    <xdr:colOff>0</xdr:colOff>
                    <xdr:row>22</xdr:row>
                    <xdr:rowOff>171450</xdr:rowOff>
                  </from>
                  <to>
                    <xdr:col>13</xdr:col>
                    <xdr:colOff>285750</xdr:colOff>
                    <xdr:row>24</xdr:row>
                    <xdr:rowOff>19050</xdr:rowOff>
                  </to>
                </anchor>
              </controlPr>
            </control>
          </mc:Choice>
        </mc:AlternateContent>
        <mc:AlternateContent xmlns:mc="http://schemas.openxmlformats.org/markup-compatibility/2006">
          <mc:Choice Requires="x14">
            <control shapeId="19530" r:id="rId65" name="Check Box 74">
              <controlPr defaultSize="0" autoFill="0" autoLine="0" autoPict="0">
                <anchor moveWithCells="1">
                  <from>
                    <xdr:col>11</xdr:col>
                    <xdr:colOff>0</xdr:colOff>
                    <xdr:row>23</xdr:row>
                    <xdr:rowOff>171450</xdr:rowOff>
                  </from>
                  <to>
                    <xdr:col>13</xdr:col>
                    <xdr:colOff>285750</xdr:colOff>
                    <xdr:row>25</xdr:row>
                    <xdr:rowOff>12700</xdr:rowOff>
                  </to>
                </anchor>
              </controlPr>
            </control>
          </mc:Choice>
        </mc:AlternateContent>
        <mc:AlternateContent xmlns:mc="http://schemas.openxmlformats.org/markup-compatibility/2006">
          <mc:Choice Requires="x14">
            <control shapeId="19531" r:id="rId66" name="Check Box 75">
              <controlPr defaultSize="0" autoFill="0" autoLine="0" autoPict="0">
                <anchor moveWithCells="1">
                  <from>
                    <xdr:col>11</xdr:col>
                    <xdr:colOff>0</xdr:colOff>
                    <xdr:row>24</xdr:row>
                    <xdr:rowOff>171450</xdr:rowOff>
                  </from>
                  <to>
                    <xdr:col>13</xdr:col>
                    <xdr:colOff>285750</xdr:colOff>
                    <xdr:row>26</xdr:row>
                    <xdr:rowOff>6350</xdr:rowOff>
                  </to>
                </anchor>
              </controlPr>
            </control>
          </mc:Choice>
        </mc:AlternateContent>
        <mc:AlternateContent xmlns:mc="http://schemas.openxmlformats.org/markup-compatibility/2006">
          <mc:Choice Requires="x14">
            <control shapeId="19532" r:id="rId67" name="Check Box 76">
              <controlPr defaultSize="0" autoFill="0" autoLine="0" autoPict="0">
                <anchor moveWithCells="1">
                  <from>
                    <xdr:col>11</xdr:col>
                    <xdr:colOff>0</xdr:colOff>
                    <xdr:row>25</xdr:row>
                    <xdr:rowOff>171450</xdr:rowOff>
                  </from>
                  <to>
                    <xdr:col>13</xdr:col>
                    <xdr:colOff>285750</xdr:colOff>
                    <xdr:row>27</xdr:row>
                    <xdr:rowOff>12700</xdr:rowOff>
                  </to>
                </anchor>
              </controlPr>
            </control>
          </mc:Choice>
        </mc:AlternateContent>
        <mc:AlternateContent xmlns:mc="http://schemas.openxmlformats.org/markup-compatibility/2006">
          <mc:Choice Requires="x14">
            <control shapeId="19533" r:id="rId68" name="Check Box 77">
              <controlPr defaultSize="0" autoFill="0" autoLine="0" autoPict="0">
                <anchor moveWithCells="1">
                  <from>
                    <xdr:col>11</xdr:col>
                    <xdr:colOff>0</xdr:colOff>
                    <xdr:row>26</xdr:row>
                    <xdr:rowOff>171450</xdr:rowOff>
                  </from>
                  <to>
                    <xdr:col>13</xdr:col>
                    <xdr:colOff>285750</xdr:colOff>
                    <xdr:row>28</xdr:row>
                    <xdr:rowOff>12700</xdr:rowOff>
                  </to>
                </anchor>
              </controlPr>
            </control>
          </mc:Choice>
        </mc:AlternateContent>
        <mc:AlternateContent xmlns:mc="http://schemas.openxmlformats.org/markup-compatibility/2006">
          <mc:Choice Requires="x14">
            <control shapeId="19534" r:id="rId69" name="Check Box 78">
              <controlPr defaultSize="0" autoFill="0" autoLine="0" autoPict="0">
                <anchor moveWithCells="1">
                  <from>
                    <xdr:col>11</xdr:col>
                    <xdr:colOff>0</xdr:colOff>
                    <xdr:row>27</xdr:row>
                    <xdr:rowOff>171450</xdr:rowOff>
                  </from>
                  <to>
                    <xdr:col>13</xdr:col>
                    <xdr:colOff>285750</xdr:colOff>
                    <xdr:row>29</xdr:row>
                    <xdr:rowOff>12700</xdr:rowOff>
                  </to>
                </anchor>
              </controlPr>
            </control>
          </mc:Choice>
        </mc:AlternateContent>
        <mc:AlternateContent xmlns:mc="http://schemas.openxmlformats.org/markup-compatibility/2006">
          <mc:Choice Requires="x14">
            <control shapeId="19535" r:id="rId70" name="Check Box 79">
              <controlPr defaultSize="0" autoFill="0" autoLine="0" autoPict="0">
                <anchor moveWithCells="1">
                  <from>
                    <xdr:col>11</xdr:col>
                    <xdr:colOff>0</xdr:colOff>
                    <xdr:row>28</xdr:row>
                    <xdr:rowOff>171450</xdr:rowOff>
                  </from>
                  <to>
                    <xdr:col>13</xdr:col>
                    <xdr:colOff>285750</xdr:colOff>
                    <xdr:row>30</xdr:row>
                    <xdr:rowOff>19050</xdr:rowOff>
                  </to>
                </anchor>
              </controlPr>
            </control>
          </mc:Choice>
        </mc:AlternateContent>
        <mc:AlternateContent xmlns:mc="http://schemas.openxmlformats.org/markup-compatibility/2006">
          <mc:Choice Requires="x14">
            <control shapeId="19536" r:id="rId71" name="Check Box 80">
              <controlPr defaultSize="0" autoFill="0" autoLine="0" autoPict="0">
                <anchor moveWithCells="1">
                  <from>
                    <xdr:col>11</xdr:col>
                    <xdr:colOff>0</xdr:colOff>
                    <xdr:row>29</xdr:row>
                    <xdr:rowOff>171450</xdr:rowOff>
                  </from>
                  <to>
                    <xdr:col>13</xdr:col>
                    <xdr:colOff>285750</xdr:colOff>
                    <xdr:row>31</xdr:row>
                    <xdr:rowOff>19050</xdr:rowOff>
                  </to>
                </anchor>
              </controlPr>
            </control>
          </mc:Choice>
        </mc:AlternateContent>
        <mc:AlternateContent xmlns:mc="http://schemas.openxmlformats.org/markup-compatibility/2006">
          <mc:Choice Requires="x14">
            <control shapeId="19537" r:id="rId72" name="Check Box 81">
              <controlPr defaultSize="0" autoFill="0" autoLine="0" autoPict="0">
                <anchor moveWithCells="1">
                  <from>
                    <xdr:col>11</xdr:col>
                    <xdr:colOff>0</xdr:colOff>
                    <xdr:row>30</xdr:row>
                    <xdr:rowOff>171450</xdr:rowOff>
                  </from>
                  <to>
                    <xdr:col>13</xdr:col>
                    <xdr:colOff>285750</xdr:colOff>
                    <xdr:row>32</xdr:row>
                    <xdr:rowOff>19050</xdr:rowOff>
                  </to>
                </anchor>
              </controlPr>
            </control>
          </mc:Choice>
        </mc:AlternateContent>
        <mc:AlternateContent xmlns:mc="http://schemas.openxmlformats.org/markup-compatibility/2006">
          <mc:Choice Requires="x14">
            <control shapeId="19538" r:id="rId73" name="Check Box 82">
              <controlPr defaultSize="0" autoFill="0" autoLine="0" autoPict="0">
                <anchor moveWithCells="1">
                  <from>
                    <xdr:col>11</xdr:col>
                    <xdr:colOff>0</xdr:colOff>
                    <xdr:row>31</xdr:row>
                    <xdr:rowOff>171450</xdr:rowOff>
                  </from>
                  <to>
                    <xdr:col>13</xdr:col>
                    <xdr:colOff>285750</xdr:colOff>
                    <xdr:row>33</xdr:row>
                    <xdr:rowOff>12700</xdr:rowOff>
                  </to>
                </anchor>
              </controlPr>
            </control>
          </mc:Choice>
        </mc:AlternateContent>
        <mc:AlternateContent xmlns:mc="http://schemas.openxmlformats.org/markup-compatibility/2006">
          <mc:Choice Requires="x14">
            <control shapeId="19572" r:id="rId74" name="Check Box 116">
              <controlPr defaultSize="0" autoFill="0" autoLine="0" autoPict="0">
                <anchor moveWithCells="1">
                  <from>
                    <xdr:col>7</xdr:col>
                    <xdr:colOff>0</xdr:colOff>
                    <xdr:row>14</xdr:row>
                    <xdr:rowOff>171450</xdr:rowOff>
                  </from>
                  <to>
                    <xdr:col>8</xdr:col>
                    <xdr:colOff>533400</xdr:colOff>
                    <xdr:row>16</xdr:row>
                    <xdr:rowOff>12700</xdr:rowOff>
                  </to>
                </anchor>
              </controlPr>
            </control>
          </mc:Choice>
        </mc:AlternateContent>
        <mc:AlternateContent xmlns:mc="http://schemas.openxmlformats.org/markup-compatibility/2006">
          <mc:Choice Requires="x14">
            <control shapeId="19573" r:id="rId75" name="Check Box 117">
              <controlPr defaultSize="0" autoFill="0" autoLine="0" autoPict="0">
                <anchor moveWithCells="1">
                  <from>
                    <xdr:col>7</xdr:col>
                    <xdr:colOff>0</xdr:colOff>
                    <xdr:row>13</xdr:row>
                    <xdr:rowOff>184150</xdr:rowOff>
                  </from>
                  <to>
                    <xdr:col>8</xdr:col>
                    <xdr:colOff>533400</xdr:colOff>
                    <xdr:row>15</xdr:row>
                    <xdr:rowOff>25400</xdr:rowOff>
                  </to>
                </anchor>
              </controlPr>
            </control>
          </mc:Choice>
        </mc:AlternateContent>
        <mc:AlternateContent xmlns:mc="http://schemas.openxmlformats.org/markup-compatibility/2006">
          <mc:Choice Requires="x14">
            <control shapeId="19627" r:id="rId76" name="Check Box 171">
              <controlPr defaultSize="0" autoFill="0" autoLine="0" autoPict="0">
                <anchor moveWithCells="1">
                  <from>
                    <xdr:col>7</xdr:col>
                    <xdr:colOff>0</xdr:colOff>
                    <xdr:row>21</xdr:row>
                    <xdr:rowOff>171450</xdr:rowOff>
                  </from>
                  <to>
                    <xdr:col>8</xdr:col>
                    <xdr:colOff>533400</xdr:colOff>
                    <xdr:row>23</xdr:row>
                    <xdr:rowOff>19050</xdr:rowOff>
                  </to>
                </anchor>
              </controlPr>
            </control>
          </mc:Choice>
        </mc:AlternateContent>
        <mc:AlternateContent xmlns:mc="http://schemas.openxmlformats.org/markup-compatibility/2006">
          <mc:Choice Requires="x14">
            <control shapeId="19628" r:id="rId77" name="Check Box 172">
              <controlPr defaultSize="0" autoFill="0" autoLine="0" autoPict="0">
                <anchor moveWithCells="1">
                  <from>
                    <xdr:col>7</xdr:col>
                    <xdr:colOff>0</xdr:colOff>
                    <xdr:row>22</xdr:row>
                    <xdr:rowOff>171450</xdr:rowOff>
                  </from>
                  <to>
                    <xdr:col>8</xdr:col>
                    <xdr:colOff>533400</xdr:colOff>
                    <xdr:row>24</xdr:row>
                    <xdr:rowOff>19050</xdr:rowOff>
                  </to>
                </anchor>
              </controlPr>
            </control>
          </mc:Choice>
        </mc:AlternateContent>
        <mc:AlternateContent xmlns:mc="http://schemas.openxmlformats.org/markup-compatibility/2006">
          <mc:Choice Requires="x14">
            <control shapeId="19629" r:id="rId78" name="Check Box 173">
              <controlPr defaultSize="0" autoFill="0" autoLine="0" autoPict="0">
                <anchor moveWithCells="1">
                  <from>
                    <xdr:col>7</xdr:col>
                    <xdr:colOff>0</xdr:colOff>
                    <xdr:row>23</xdr:row>
                    <xdr:rowOff>171450</xdr:rowOff>
                  </from>
                  <to>
                    <xdr:col>8</xdr:col>
                    <xdr:colOff>533400</xdr:colOff>
                    <xdr:row>25</xdr:row>
                    <xdr:rowOff>12700</xdr:rowOff>
                  </to>
                </anchor>
              </controlPr>
            </control>
          </mc:Choice>
        </mc:AlternateContent>
        <mc:AlternateContent xmlns:mc="http://schemas.openxmlformats.org/markup-compatibility/2006">
          <mc:Choice Requires="x14">
            <control shapeId="19630" r:id="rId79" name="Check Box 174">
              <controlPr defaultSize="0" autoFill="0" autoLine="0" autoPict="0">
                <anchor moveWithCells="1">
                  <from>
                    <xdr:col>11</xdr:col>
                    <xdr:colOff>6350</xdr:colOff>
                    <xdr:row>12</xdr:row>
                    <xdr:rowOff>177800</xdr:rowOff>
                  </from>
                  <to>
                    <xdr:col>13</xdr:col>
                    <xdr:colOff>292100</xdr:colOff>
                    <xdr:row>14</xdr:row>
                    <xdr:rowOff>12700</xdr:rowOff>
                  </to>
                </anchor>
              </controlPr>
            </control>
          </mc:Choice>
        </mc:AlternateContent>
        <mc:AlternateContent xmlns:mc="http://schemas.openxmlformats.org/markup-compatibility/2006">
          <mc:Choice Requires="x14">
            <control shapeId="19631" r:id="rId80" name="Check Box 175">
              <controlPr defaultSize="0" autoFill="0" autoLine="0" autoPict="0">
                <anchor moveWithCells="1">
                  <from>
                    <xdr:col>11</xdr:col>
                    <xdr:colOff>6350</xdr:colOff>
                    <xdr:row>13</xdr:row>
                    <xdr:rowOff>177800</xdr:rowOff>
                  </from>
                  <to>
                    <xdr:col>13</xdr:col>
                    <xdr:colOff>292100</xdr:colOff>
                    <xdr:row>15</xdr:row>
                    <xdr:rowOff>19050</xdr:rowOff>
                  </to>
                </anchor>
              </controlPr>
            </control>
          </mc:Choice>
        </mc:AlternateContent>
        <mc:AlternateContent xmlns:mc="http://schemas.openxmlformats.org/markup-compatibility/2006">
          <mc:Choice Requires="x14">
            <control shapeId="19632" r:id="rId81" name="Check Box 176">
              <controlPr defaultSize="0" autoFill="0" autoLine="0" autoPict="0">
                <anchor moveWithCells="1">
                  <from>
                    <xdr:col>11</xdr:col>
                    <xdr:colOff>6350</xdr:colOff>
                    <xdr:row>14</xdr:row>
                    <xdr:rowOff>171450</xdr:rowOff>
                  </from>
                  <to>
                    <xdr:col>13</xdr:col>
                    <xdr:colOff>292100</xdr:colOff>
                    <xdr:row>16</xdr:row>
                    <xdr:rowOff>12700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7E92E-9E1C-45F2-BE89-458B7E6C5A6A}">
  <dimension ref="A1:X35"/>
  <sheetViews>
    <sheetView tabSelected="1" workbookViewId="0">
      <selection activeCell="J2" sqref="J2"/>
    </sheetView>
  </sheetViews>
  <sheetFormatPr defaultRowHeight="14.5" x14ac:dyDescent="0.35"/>
  <cols>
    <col min="1" max="1" width="4.453125" customWidth="1"/>
    <col min="2" max="2" width="42.7265625" style="327" customWidth="1"/>
    <col min="3" max="3" width="12.6328125" customWidth="1"/>
    <col min="4" max="4" width="2.90625" customWidth="1"/>
    <col min="5" max="5" width="7.6328125" customWidth="1"/>
    <col min="6" max="6" width="42.7265625" customWidth="1"/>
    <col min="7" max="7" width="12.6328125" customWidth="1"/>
    <col min="8" max="8" width="3.1796875" customWidth="1"/>
    <col min="9" max="9" width="7.6328125" customWidth="1"/>
    <col min="10" max="10" width="42.7265625" customWidth="1"/>
    <col min="11" max="11" width="12.6328125" customWidth="1"/>
    <col min="12" max="12" width="3.1796875" customWidth="1"/>
  </cols>
  <sheetData>
    <row r="1" spans="1:24" x14ac:dyDescent="0.35">
      <c r="A1" s="320"/>
      <c r="B1" s="321"/>
      <c r="C1" s="320"/>
      <c r="D1" s="320"/>
      <c r="E1" s="320"/>
      <c r="F1" s="320"/>
      <c r="G1" s="320"/>
      <c r="H1" s="320"/>
      <c r="I1" s="320"/>
      <c r="J1" s="320"/>
      <c r="K1" s="320"/>
      <c r="L1" s="320"/>
      <c r="M1" s="320"/>
      <c r="N1" s="320"/>
      <c r="O1" s="320"/>
      <c r="P1" s="320"/>
      <c r="Q1" s="320"/>
      <c r="R1" s="320"/>
      <c r="S1" s="320"/>
      <c r="T1" s="320"/>
      <c r="U1" s="320"/>
      <c r="V1" s="320"/>
      <c r="W1" s="320"/>
      <c r="X1" s="320"/>
    </row>
    <row r="2" spans="1:24" ht="14.5" customHeight="1" x14ac:dyDescent="0.45">
      <c r="A2" s="320"/>
      <c r="B2" s="322" t="s">
        <v>185</v>
      </c>
      <c r="C2" s="320"/>
      <c r="D2" s="320"/>
      <c r="E2" s="320"/>
      <c r="F2" s="320"/>
      <c r="G2" s="320"/>
      <c r="H2" s="320"/>
      <c r="I2" s="320"/>
      <c r="J2" s="320"/>
      <c r="K2" s="320"/>
      <c r="L2" s="320"/>
      <c r="M2" s="320"/>
      <c r="N2" s="320"/>
      <c r="O2" s="320"/>
      <c r="P2" s="320"/>
      <c r="Q2" s="320"/>
      <c r="R2" s="320"/>
      <c r="S2" s="320"/>
      <c r="T2" s="320"/>
      <c r="U2" s="320"/>
      <c r="V2" s="320"/>
      <c r="W2" s="320"/>
      <c r="X2" s="320"/>
    </row>
    <row r="3" spans="1:24" x14ac:dyDescent="0.35">
      <c r="A3" s="320"/>
      <c r="B3" s="328" t="s">
        <v>186</v>
      </c>
      <c r="C3" s="320"/>
      <c r="D3" s="320"/>
      <c r="E3" s="320"/>
      <c r="F3" s="320"/>
      <c r="G3" s="320"/>
      <c r="H3" s="320"/>
      <c r="I3" s="320"/>
      <c r="J3" s="320"/>
      <c r="K3" s="320"/>
      <c r="L3" s="320"/>
      <c r="M3" s="320"/>
      <c r="N3" s="320"/>
      <c r="O3" s="320"/>
      <c r="P3" s="320"/>
      <c r="Q3" s="320"/>
      <c r="R3" s="320"/>
      <c r="S3" s="320"/>
      <c r="T3" s="320"/>
      <c r="U3" s="320"/>
      <c r="V3" s="320"/>
      <c r="W3" s="320"/>
      <c r="X3" s="320"/>
    </row>
    <row r="4" spans="1:24" ht="15" thickBot="1" x14ac:dyDescent="0.4">
      <c r="A4" s="320"/>
      <c r="B4" s="321"/>
      <c r="C4" s="320"/>
      <c r="D4" s="320"/>
      <c r="E4" s="320"/>
      <c r="F4" s="320"/>
      <c r="G4" s="320"/>
      <c r="H4" s="320"/>
      <c r="I4" s="320"/>
      <c r="J4" s="320"/>
      <c r="K4" s="320"/>
      <c r="L4" s="320"/>
      <c r="M4" s="320"/>
      <c r="N4" s="320"/>
      <c r="O4" s="320"/>
      <c r="P4" s="320"/>
      <c r="Q4" s="320"/>
      <c r="R4" s="320"/>
      <c r="S4" s="320"/>
      <c r="T4" s="320"/>
      <c r="U4" s="320"/>
      <c r="V4" s="320"/>
      <c r="W4" s="320"/>
      <c r="X4" s="320"/>
    </row>
    <row r="5" spans="1:24" x14ac:dyDescent="0.35">
      <c r="A5" s="320"/>
      <c r="B5" s="314" t="s">
        <v>39</v>
      </c>
      <c r="C5" s="315"/>
      <c r="D5" s="316"/>
      <c r="E5" s="320"/>
      <c r="F5" s="314" t="s">
        <v>1</v>
      </c>
      <c r="G5" s="315"/>
      <c r="H5" s="316"/>
      <c r="I5" s="320"/>
      <c r="J5" s="314" t="s">
        <v>194</v>
      </c>
      <c r="K5" s="315"/>
      <c r="L5" s="316"/>
      <c r="M5" s="320"/>
      <c r="N5" s="320"/>
      <c r="O5" s="320"/>
      <c r="P5" s="320"/>
      <c r="Q5" s="320"/>
      <c r="R5" s="320"/>
      <c r="S5" s="320"/>
      <c r="T5" s="320"/>
      <c r="U5" s="320"/>
      <c r="V5" s="320"/>
      <c r="W5" s="320"/>
      <c r="X5" s="320"/>
    </row>
    <row r="6" spans="1:24" ht="15" thickBot="1" x14ac:dyDescent="0.4">
      <c r="A6" s="320"/>
      <c r="B6" s="323" t="s">
        <v>104</v>
      </c>
      <c r="C6" s="318" t="s">
        <v>187</v>
      </c>
      <c r="D6" s="319"/>
      <c r="E6" s="320"/>
      <c r="F6" s="317" t="s">
        <v>104</v>
      </c>
      <c r="G6" s="318" t="s">
        <v>187</v>
      </c>
      <c r="H6" s="319"/>
      <c r="I6" s="320"/>
      <c r="J6" s="317" t="s">
        <v>104</v>
      </c>
      <c r="K6" s="318" t="s">
        <v>187</v>
      </c>
      <c r="L6" s="319"/>
      <c r="M6" s="320"/>
      <c r="N6" s="320"/>
      <c r="O6" s="320"/>
      <c r="P6" s="320"/>
      <c r="Q6" s="320"/>
      <c r="R6" s="320"/>
      <c r="S6" s="320"/>
      <c r="T6" s="320"/>
      <c r="U6" s="320"/>
      <c r="V6" s="320"/>
      <c r="W6" s="320"/>
      <c r="X6" s="320"/>
    </row>
    <row r="7" spans="1:24" x14ac:dyDescent="0.35">
      <c r="A7" s="320"/>
      <c r="B7" s="324" t="s">
        <v>188</v>
      </c>
      <c r="C7" s="329">
        <v>45087</v>
      </c>
      <c r="D7" s="212"/>
      <c r="E7" s="320"/>
      <c r="F7" s="210" t="s">
        <v>195</v>
      </c>
      <c r="G7" s="329"/>
      <c r="H7" s="212"/>
      <c r="I7" s="320"/>
      <c r="J7" s="210" t="s">
        <v>200</v>
      </c>
      <c r="K7" s="329"/>
      <c r="L7" s="212"/>
      <c r="M7" s="320"/>
      <c r="N7" s="320"/>
      <c r="O7" s="320"/>
      <c r="P7" s="320"/>
      <c r="Q7" s="320"/>
      <c r="R7" s="320"/>
      <c r="S7" s="320"/>
      <c r="T7" s="320"/>
      <c r="U7" s="320"/>
      <c r="V7" s="320"/>
      <c r="W7" s="320"/>
      <c r="X7" s="320"/>
    </row>
    <row r="8" spans="1:24" x14ac:dyDescent="0.35">
      <c r="A8" s="320"/>
      <c r="B8" s="325" t="s">
        <v>189</v>
      </c>
      <c r="C8" s="329"/>
      <c r="D8" s="212"/>
      <c r="E8" s="320"/>
      <c r="F8" s="203" t="s">
        <v>196</v>
      </c>
      <c r="G8" s="330"/>
      <c r="H8" s="212"/>
      <c r="I8" s="320"/>
      <c r="J8" s="203" t="s">
        <v>199</v>
      </c>
      <c r="K8" s="330"/>
      <c r="L8" s="212"/>
      <c r="M8" s="320"/>
      <c r="N8" s="320"/>
      <c r="O8" s="320"/>
      <c r="P8" s="320"/>
      <c r="Q8" s="320"/>
      <c r="R8" s="320"/>
      <c r="S8" s="320"/>
      <c r="T8" s="320"/>
      <c r="U8" s="320"/>
      <c r="V8" s="320"/>
      <c r="W8" s="320"/>
      <c r="X8" s="320"/>
    </row>
    <row r="9" spans="1:24" x14ac:dyDescent="0.35">
      <c r="A9" s="320"/>
      <c r="B9" s="325" t="s">
        <v>190</v>
      </c>
      <c r="C9" s="329"/>
      <c r="D9" s="212"/>
      <c r="E9" s="320"/>
      <c r="F9" s="203" t="s">
        <v>197</v>
      </c>
      <c r="G9" s="330"/>
      <c r="H9" s="212"/>
      <c r="I9" s="320"/>
      <c r="J9" s="203" t="s">
        <v>201</v>
      </c>
      <c r="K9" s="330"/>
      <c r="L9" s="212"/>
      <c r="M9" s="320"/>
      <c r="N9" s="320"/>
      <c r="O9" s="320"/>
      <c r="P9" s="320"/>
      <c r="Q9" s="320"/>
      <c r="R9" s="320"/>
      <c r="S9" s="320"/>
      <c r="T9" s="320"/>
      <c r="U9" s="320"/>
      <c r="V9" s="320"/>
      <c r="W9" s="320"/>
      <c r="X9" s="320"/>
    </row>
    <row r="10" spans="1:24" x14ac:dyDescent="0.35">
      <c r="A10" s="320"/>
      <c r="B10" s="325" t="s">
        <v>191</v>
      </c>
      <c r="C10" s="329"/>
      <c r="D10" s="212"/>
      <c r="E10" s="320"/>
      <c r="F10" s="203" t="s">
        <v>198</v>
      </c>
      <c r="G10" s="330"/>
      <c r="H10" s="212"/>
      <c r="I10" s="320"/>
      <c r="J10" s="203" t="s">
        <v>202</v>
      </c>
      <c r="K10" s="330"/>
      <c r="L10" s="212"/>
      <c r="M10" s="320"/>
      <c r="N10" s="320"/>
      <c r="O10" s="320"/>
      <c r="P10" s="320"/>
      <c r="Q10" s="320"/>
      <c r="R10" s="320"/>
      <c r="S10" s="320"/>
      <c r="T10" s="320"/>
      <c r="U10" s="320"/>
      <c r="V10" s="320"/>
      <c r="W10" s="320"/>
      <c r="X10" s="320"/>
    </row>
    <row r="11" spans="1:24" x14ac:dyDescent="0.35">
      <c r="A11" s="320"/>
      <c r="B11" s="325" t="s">
        <v>192</v>
      </c>
      <c r="C11" s="329"/>
      <c r="D11" s="212"/>
      <c r="E11" s="320"/>
      <c r="F11" s="203"/>
      <c r="G11" s="330"/>
      <c r="H11" s="212"/>
      <c r="I11" s="320"/>
      <c r="J11" s="203" t="s">
        <v>203</v>
      </c>
      <c r="K11" s="330"/>
      <c r="L11" s="212"/>
      <c r="M11" s="320"/>
      <c r="N11" s="320"/>
      <c r="O11" s="320"/>
      <c r="P11" s="320"/>
      <c r="Q11" s="320"/>
      <c r="R11" s="320"/>
      <c r="S11" s="320"/>
      <c r="T11" s="320"/>
      <c r="U11" s="320"/>
      <c r="V11" s="320"/>
      <c r="W11" s="320"/>
      <c r="X11" s="320"/>
    </row>
    <row r="12" spans="1:24" x14ac:dyDescent="0.35">
      <c r="A12" s="320"/>
      <c r="B12" s="325" t="s">
        <v>193</v>
      </c>
      <c r="C12" s="329"/>
      <c r="D12" s="212"/>
      <c r="E12" s="320"/>
      <c r="F12" s="203"/>
      <c r="G12" s="330"/>
      <c r="H12" s="212"/>
      <c r="I12" s="320"/>
      <c r="J12" s="203"/>
      <c r="K12" s="330"/>
      <c r="L12" s="212"/>
      <c r="M12" s="320"/>
      <c r="N12" s="320"/>
      <c r="O12" s="320"/>
      <c r="P12" s="320"/>
      <c r="Q12" s="320"/>
      <c r="R12" s="320"/>
      <c r="S12" s="320"/>
      <c r="T12" s="320"/>
      <c r="U12" s="320"/>
      <c r="V12" s="320"/>
      <c r="W12" s="320"/>
      <c r="X12" s="320"/>
    </row>
    <row r="13" spans="1:24" x14ac:dyDescent="0.35">
      <c r="A13" s="320"/>
      <c r="B13" s="325"/>
      <c r="C13" s="330"/>
      <c r="D13" s="212"/>
      <c r="E13" s="320"/>
      <c r="F13" s="203"/>
      <c r="G13" s="330"/>
      <c r="H13" s="212"/>
      <c r="I13" s="320"/>
      <c r="J13" s="203"/>
      <c r="K13" s="330"/>
      <c r="L13" s="212"/>
      <c r="M13" s="320"/>
      <c r="N13" s="320"/>
      <c r="O13" s="320"/>
      <c r="P13" s="320"/>
      <c r="Q13" s="320"/>
      <c r="R13" s="320"/>
      <c r="S13" s="320"/>
      <c r="T13" s="320"/>
      <c r="U13" s="320"/>
      <c r="V13" s="320"/>
      <c r="W13" s="320"/>
      <c r="X13" s="320"/>
    </row>
    <row r="14" spans="1:24" x14ac:dyDescent="0.35">
      <c r="A14" s="320"/>
      <c r="B14" s="325"/>
      <c r="C14" s="330"/>
      <c r="D14" s="212"/>
      <c r="E14" s="320"/>
      <c r="F14" s="203"/>
      <c r="G14" s="330"/>
      <c r="H14" s="212"/>
      <c r="I14" s="320"/>
      <c r="J14" s="203"/>
      <c r="K14" s="330"/>
      <c r="L14" s="212"/>
      <c r="M14" s="320"/>
      <c r="N14" s="320"/>
      <c r="O14" s="320"/>
      <c r="P14" s="320"/>
      <c r="Q14" s="320"/>
      <c r="R14" s="320"/>
      <c r="S14" s="320"/>
      <c r="T14" s="320"/>
      <c r="U14" s="320"/>
      <c r="V14" s="320"/>
      <c r="W14" s="320"/>
      <c r="X14" s="320"/>
    </row>
    <row r="15" spans="1:24" x14ac:dyDescent="0.35">
      <c r="A15" s="320"/>
      <c r="B15" s="325"/>
      <c r="C15" s="330"/>
      <c r="D15" s="212"/>
      <c r="E15" s="320"/>
      <c r="F15" s="203"/>
      <c r="G15" s="330"/>
      <c r="H15" s="212"/>
      <c r="I15" s="320"/>
      <c r="J15" s="203"/>
      <c r="K15" s="330"/>
      <c r="L15" s="212"/>
      <c r="M15" s="320"/>
      <c r="N15" s="320"/>
      <c r="O15" s="320"/>
      <c r="P15" s="320"/>
      <c r="Q15" s="320"/>
      <c r="R15" s="320"/>
      <c r="S15" s="320"/>
      <c r="T15" s="320"/>
      <c r="U15" s="320"/>
      <c r="V15" s="320"/>
      <c r="W15" s="320"/>
      <c r="X15" s="320"/>
    </row>
    <row r="16" spans="1:24" x14ac:dyDescent="0.35">
      <c r="A16" s="320"/>
      <c r="B16" s="325"/>
      <c r="C16" s="330"/>
      <c r="D16" s="212"/>
      <c r="E16" s="320"/>
      <c r="F16" s="203"/>
      <c r="G16" s="330"/>
      <c r="H16" s="212"/>
      <c r="I16" s="320"/>
      <c r="J16" s="203"/>
      <c r="K16" s="330"/>
      <c r="L16" s="212"/>
      <c r="M16" s="320"/>
      <c r="N16" s="320"/>
      <c r="O16" s="320"/>
      <c r="P16" s="320"/>
      <c r="Q16" s="320"/>
      <c r="R16" s="320"/>
      <c r="S16" s="320"/>
      <c r="T16" s="320"/>
      <c r="U16" s="320"/>
      <c r="V16" s="320"/>
      <c r="W16" s="320"/>
      <c r="X16" s="320"/>
    </row>
    <row r="17" spans="1:24" x14ac:dyDescent="0.35">
      <c r="A17" s="320"/>
      <c r="B17" s="325"/>
      <c r="C17" s="330"/>
      <c r="D17" s="212"/>
      <c r="E17" s="320"/>
      <c r="F17" s="203"/>
      <c r="G17" s="330"/>
      <c r="H17" s="212"/>
      <c r="I17" s="320"/>
      <c r="J17" s="203"/>
      <c r="K17" s="330"/>
      <c r="L17" s="212"/>
      <c r="M17" s="320"/>
      <c r="N17" s="320"/>
      <c r="O17" s="320"/>
      <c r="P17" s="320"/>
      <c r="Q17" s="320"/>
      <c r="R17" s="320"/>
      <c r="S17" s="320"/>
      <c r="T17" s="320"/>
      <c r="U17" s="320"/>
      <c r="V17" s="320"/>
      <c r="W17" s="320"/>
      <c r="X17" s="320"/>
    </row>
    <row r="18" spans="1:24" x14ac:dyDescent="0.35">
      <c r="A18" s="320"/>
      <c r="B18" s="325"/>
      <c r="C18" s="330"/>
      <c r="D18" s="212"/>
      <c r="E18" s="320"/>
      <c r="F18" s="203"/>
      <c r="G18" s="330"/>
      <c r="H18" s="212"/>
      <c r="I18" s="320"/>
      <c r="J18" s="203"/>
      <c r="K18" s="330"/>
      <c r="L18" s="212"/>
      <c r="M18" s="320"/>
      <c r="N18" s="320"/>
      <c r="O18" s="320"/>
      <c r="P18" s="320"/>
      <c r="Q18" s="320"/>
      <c r="R18" s="320"/>
      <c r="S18" s="320"/>
      <c r="T18" s="320"/>
      <c r="U18" s="320"/>
      <c r="V18" s="320"/>
      <c r="W18" s="320"/>
      <c r="X18" s="320"/>
    </row>
    <row r="19" spans="1:24" x14ac:dyDescent="0.35">
      <c r="A19" s="320"/>
      <c r="B19" s="325"/>
      <c r="C19" s="330"/>
      <c r="D19" s="212"/>
      <c r="E19" s="320"/>
      <c r="F19" s="203"/>
      <c r="G19" s="330"/>
      <c r="H19" s="212"/>
      <c r="I19" s="320"/>
      <c r="J19" s="203"/>
      <c r="K19" s="330"/>
      <c r="L19" s="212"/>
      <c r="M19" s="320"/>
      <c r="N19" s="320"/>
      <c r="O19" s="320"/>
      <c r="P19" s="320"/>
      <c r="Q19" s="320"/>
      <c r="R19" s="320"/>
      <c r="S19" s="320"/>
      <c r="T19" s="320"/>
      <c r="U19" s="320"/>
      <c r="V19" s="320"/>
      <c r="W19" s="320"/>
      <c r="X19" s="320"/>
    </row>
    <row r="20" spans="1:24" x14ac:dyDescent="0.35">
      <c r="A20" s="320"/>
      <c r="B20" s="325"/>
      <c r="C20" s="330"/>
      <c r="D20" s="212"/>
      <c r="E20" s="320"/>
      <c r="F20" s="203"/>
      <c r="G20" s="330"/>
      <c r="H20" s="212"/>
      <c r="I20" s="320"/>
      <c r="J20" s="203"/>
      <c r="K20" s="330"/>
      <c r="L20" s="212"/>
      <c r="M20" s="320"/>
      <c r="N20" s="320"/>
      <c r="O20" s="320"/>
      <c r="P20" s="320"/>
      <c r="Q20" s="320"/>
      <c r="R20" s="320"/>
      <c r="S20" s="320"/>
      <c r="T20" s="320"/>
      <c r="U20" s="320"/>
      <c r="V20" s="320"/>
      <c r="W20" s="320"/>
      <c r="X20" s="320"/>
    </row>
    <row r="21" spans="1:24" x14ac:dyDescent="0.35">
      <c r="A21" s="320"/>
      <c r="B21" s="325"/>
      <c r="C21" s="330"/>
      <c r="D21" s="212"/>
      <c r="E21" s="320"/>
      <c r="F21" s="203"/>
      <c r="G21" s="330"/>
      <c r="H21" s="212"/>
      <c r="I21" s="320"/>
      <c r="J21" s="203"/>
      <c r="K21" s="330"/>
      <c r="L21" s="212"/>
      <c r="M21" s="320"/>
      <c r="N21" s="320"/>
      <c r="O21" s="320"/>
      <c r="P21" s="320"/>
      <c r="Q21" s="320"/>
      <c r="R21" s="320"/>
      <c r="S21" s="320"/>
      <c r="T21" s="320"/>
      <c r="U21" s="320"/>
      <c r="V21" s="320"/>
      <c r="W21" s="320"/>
      <c r="X21" s="320"/>
    </row>
    <row r="22" spans="1:24" x14ac:dyDescent="0.35">
      <c r="A22" s="320"/>
      <c r="B22" s="325"/>
      <c r="C22" s="330"/>
      <c r="D22" s="212"/>
      <c r="E22" s="320"/>
      <c r="F22" s="203"/>
      <c r="G22" s="330"/>
      <c r="H22" s="212"/>
      <c r="I22" s="320"/>
      <c r="J22" s="203"/>
      <c r="K22" s="330"/>
      <c r="L22" s="212"/>
      <c r="M22" s="320"/>
      <c r="N22" s="320"/>
      <c r="O22" s="320"/>
      <c r="P22" s="320"/>
      <c r="Q22" s="320"/>
      <c r="R22" s="320"/>
      <c r="S22" s="320"/>
      <c r="T22" s="320"/>
      <c r="U22" s="320"/>
      <c r="V22" s="320"/>
      <c r="W22" s="320"/>
      <c r="X22" s="320"/>
    </row>
    <row r="23" spans="1:24" x14ac:dyDescent="0.35">
      <c r="A23" s="320"/>
      <c r="B23" s="325"/>
      <c r="C23" s="330"/>
      <c r="D23" s="212"/>
      <c r="E23" s="320"/>
      <c r="F23" s="203"/>
      <c r="G23" s="330"/>
      <c r="H23" s="212"/>
      <c r="I23" s="320"/>
      <c r="J23" s="203"/>
      <c r="K23" s="330"/>
      <c r="L23" s="212"/>
      <c r="M23" s="320"/>
      <c r="N23" s="320"/>
      <c r="O23" s="320"/>
      <c r="P23" s="320"/>
      <c r="Q23" s="320"/>
      <c r="R23" s="320"/>
      <c r="S23" s="320"/>
      <c r="T23" s="320"/>
      <c r="U23" s="320"/>
      <c r="V23" s="320"/>
      <c r="W23" s="320"/>
      <c r="X23" s="320"/>
    </row>
    <row r="24" spans="1:24" x14ac:dyDescent="0.35">
      <c r="A24" s="320"/>
      <c r="B24" s="325"/>
      <c r="C24" s="330"/>
      <c r="D24" s="212"/>
      <c r="E24" s="320"/>
      <c r="F24" s="203"/>
      <c r="G24" s="330"/>
      <c r="H24" s="212"/>
      <c r="I24" s="320"/>
      <c r="J24" s="203"/>
      <c r="K24" s="330"/>
      <c r="L24" s="212"/>
      <c r="M24" s="320"/>
      <c r="N24" s="320"/>
      <c r="O24" s="320"/>
      <c r="P24" s="320"/>
      <c r="Q24" s="320"/>
      <c r="R24" s="320"/>
      <c r="S24" s="320"/>
      <c r="T24" s="320"/>
      <c r="U24" s="320"/>
      <c r="V24" s="320"/>
      <c r="W24" s="320"/>
      <c r="X24" s="320"/>
    </row>
    <row r="25" spans="1:24" x14ac:dyDescent="0.35">
      <c r="A25" s="320"/>
      <c r="B25" s="325"/>
      <c r="C25" s="330"/>
      <c r="D25" s="212"/>
      <c r="E25" s="320"/>
      <c r="F25" s="203"/>
      <c r="G25" s="330"/>
      <c r="H25" s="212"/>
      <c r="I25" s="320"/>
      <c r="J25" s="203"/>
      <c r="K25" s="330"/>
      <c r="L25" s="212"/>
      <c r="M25" s="320"/>
      <c r="N25" s="320"/>
      <c r="O25" s="320"/>
      <c r="P25" s="320"/>
      <c r="Q25" s="320"/>
      <c r="R25" s="320"/>
      <c r="S25" s="320"/>
      <c r="T25" s="320"/>
      <c r="U25" s="320"/>
      <c r="V25" s="320"/>
      <c r="W25" s="320"/>
      <c r="X25" s="320"/>
    </row>
    <row r="26" spans="1:24" x14ac:dyDescent="0.35">
      <c r="A26" s="320"/>
      <c r="B26" s="325"/>
      <c r="C26" s="330"/>
      <c r="D26" s="212"/>
      <c r="E26" s="320"/>
      <c r="F26" s="203"/>
      <c r="G26" s="330"/>
      <c r="H26" s="212"/>
      <c r="I26" s="320"/>
      <c r="J26" s="203"/>
      <c r="K26" s="330"/>
      <c r="L26" s="212"/>
      <c r="M26" s="320"/>
      <c r="N26" s="320"/>
      <c r="O26" s="320"/>
      <c r="P26" s="320"/>
      <c r="Q26" s="320"/>
      <c r="R26" s="320"/>
      <c r="S26" s="320"/>
      <c r="T26" s="320"/>
      <c r="U26" s="320"/>
      <c r="V26" s="320"/>
      <c r="W26" s="320"/>
      <c r="X26" s="320"/>
    </row>
    <row r="27" spans="1:24" x14ac:dyDescent="0.35">
      <c r="A27" s="320"/>
      <c r="B27" s="325"/>
      <c r="C27" s="330"/>
      <c r="D27" s="212"/>
      <c r="E27" s="320"/>
      <c r="F27" s="203"/>
      <c r="G27" s="330"/>
      <c r="H27" s="212"/>
      <c r="I27" s="320"/>
      <c r="J27" s="203"/>
      <c r="K27" s="330"/>
      <c r="L27" s="212"/>
      <c r="M27" s="320"/>
      <c r="N27" s="320"/>
      <c r="O27" s="320"/>
      <c r="P27" s="320"/>
      <c r="Q27" s="320"/>
      <c r="R27" s="320"/>
      <c r="S27" s="320"/>
      <c r="T27" s="320"/>
      <c r="U27" s="320"/>
      <c r="V27" s="320"/>
      <c r="W27" s="320"/>
      <c r="X27" s="320"/>
    </row>
    <row r="28" spans="1:24" x14ac:dyDescent="0.35">
      <c r="A28" s="320"/>
      <c r="B28" s="325"/>
      <c r="C28" s="330"/>
      <c r="D28" s="212"/>
      <c r="E28" s="320"/>
      <c r="F28" s="203"/>
      <c r="G28" s="330"/>
      <c r="H28" s="212"/>
      <c r="I28" s="320"/>
      <c r="J28" s="203"/>
      <c r="K28" s="330"/>
      <c r="L28" s="212"/>
      <c r="M28" s="320"/>
      <c r="N28" s="320"/>
      <c r="O28" s="320"/>
      <c r="P28" s="320"/>
      <c r="Q28" s="320"/>
      <c r="R28" s="320"/>
      <c r="S28" s="320"/>
      <c r="T28" s="320"/>
      <c r="U28" s="320"/>
      <c r="V28" s="320"/>
      <c r="W28" s="320"/>
      <c r="X28" s="320"/>
    </row>
    <row r="29" spans="1:24" x14ac:dyDescent="0.35">
      <c r="A29" s="320"/>
      <c r="B29" s="325"/>
      <c r="C29" s="330"/>
      <c r="D29" s="212"/>
      <c r="E29" s="320"/>
      <c r="F29" s="203"/>
      <c r="G29" s="330"/>
      <c r="H29" s="212"/>
      <c r="I29" s="320"/>
      <c r="J29" s="203"/>
      <c r="K29" s="330"/>
      <c r="L29" s="212"/>
      <c r="M29" s="320"/>
      <c r="N29" s="320"/>
      <c r="O29" s="320"/>
      <c r="P29" s="320"/>
      <c r="Q29" s="320"/>
      <c r="R29" s="320"/>
      <c r="S29" s="320"/>
      <c r="T29" s="320"/>
      <c r="U29" s="320"/>
      <c r="V29" s="320"/>
      <c r="W29" s="320"/>
      <c r="X29" s="320"/>
    </row>
    <row r="30" spans="1:24" x14ac:dyDescent="0.35">
      <c r="A30" s="320"/>
      <c r="B30" s="325"/>
      <c r="C30" s="330"/>
      <c r="D30" s="212"/>
      <c r="E30" s="320"/>
      <c r="F30" s="203"/>
      <c r="G30" s="330"/>
      <c r="H30" s="212"/>
      <c r="I30" s="320"/>
      <c r="J30" s="203"/>
      <c r="K30" s="330"/>
      <c r="L30" s="212"/>
      <c r="M30" s="320"/>
      <c r="N30" s="320"/>
      <c r="O30" s="320"/>
      <c r="P30" s="320"/>
      <c r="Q30" s="320"/>
      <c r="R30" s="320"/>
      <c r="S30" s="320"/>
      <c r="T30" s="320"/>
      <c r="U30" s="320"/>
      <c r="V30" s="320"/>
      <c r="W30" s="320"/>
      <c r="X30" s="320"/>
    </row>
    <row r="31" spans="1:24" x14ac:dyDescent="0.35">
      <c r="A31" s="320"/>
      <c r="B31" s="325"/>
      <c r="C31" s="330"/>
      <c r="D31" s="212"/>
      <c r="E31" s="320"/>
      <c r="F31" s="203"/>
      <c r="G31" s="330"/>
      <c r="H31" s="212"/>
      <c r="I31" s="320"/>
      <c r="J31" s="203"/>
      <c r="K31" s="330"/>
      <c r="L31" s="212"/>
      <c r="M31" s="320"/>
      <c r="N31" s="320"/>
      <c r="O31" s="320"/>
      <c r="P31" s="320"/>
      <c r="Q31" s="320"/>
      <c r="R31" s="320"/>
      <c r="S31" s="320"/>
      <c r="T31" s="320"/>
      <c r="U31" s="320"/>
      <c r="V31" s="320"/>
      <c r="W31" s="320"/>
      <c r="X31" s="320"/>
    </row>
    <row r="32" spans="1:24" x14ac:dyDescent="0.35">
      <c r="A32" s="320"/>
      <c r="B32" s="325"/>
      <c r="C32" s="330"/>
      <c r="D32" s="212"/>
      <c r="E32" s="320"/>
      <c r="F32" s="203"/>
      <c r="G32" s="330"/>
      <c r="H32" s="212"/>
      <c r="I32" s="320"/>
      <c r="J32" s="203"/>
      <c r="K32" s="330"/>
      <c r="L32" s="212"/>
      <c r="M32" s="320"/>
      <c r="N32" s="320"/>
      <c r="O32" s="320"/>
      <c r="P32" s="320"/>
      <c r="Q32" s="320"/>
      <c r="R32" s="320"/>
      <c r="S32" s="320"/>
      <c r="T32" s="320"/>
      <c r="U32" s="320"/>
      <c r="V32" s="320"/>
      <c r="W32" s="320"/>
      <c r="X32" s="320"/>
    </row>
    <row r="33" spans="1:24" ht="15" thickBot="1" x14ac:dyDescent="0.4">
      <c r="A33" s="320"/>
      <c r="B33" s="326"/>
      <c r="C33" s="331"/>
      <c r="D33" s="216"/>
      <c r="E33" s="320"/>
      <c r="F33" s="204"/>
      <c r="G33" s="331"/>
      <c r="H33" s="216"/>
      <c r="I33" s="320"/>
      <c r="J33" s="204"/>
      <c r="K33" s="331"/>
      <c r="L33" s="216"/>
      <c r="M33" s="320"/>
      <c r="N33" s="320"/>
      <c r="O33" s="320"/>
      <c r="P33" s="320"/>
      <c r="Q33" s="320"/>
      <c r="R33" s="320"/>
      <c r="S33" s="320"/>
      <c r="T33" s="320"/>
      <c r="U33" s="320"/>
      <c r="V33" s="320"/>
      <c r="W33" s="320"/>
      <c r="X33" s="320"/>
    </row>
    <row r="34" spans="1:24" x14ac:dyDescent="0.35">
      <c r="A34" s="320"/>
      <c r="B34" s="321"/>
      <c r="C34" s="320"/>
      <c r="D34" s="320"/>
      <c r="E34" s="320"/>
      <c r="F34" s="320"/>
      <c r="G34" s="320"/>
      <c r="H34" s="320"/>
      <c r="I34" s="320"/>
      <c r="J34" s="320"/>
      <c r="K34" s="320"/>
      <c r="L34" s="320"/>
      <c r="M34" s="320"/>
      <c r="N34" s="320"/>
      <c r="O34" s="320"/>
      <c r="P34" s="320"/>
      <c r="Q34" s="320"/>
      <c r="R34" s="320"/>
      <c r="S34" s="320"/>
      <c r="T34" s="320"/>
      <c r="U34" s="320"/>
      <c r="V34" s="320"/>
      <c r="W34" s="320"/>
      <c r="X34" s="320"/>
    </row>
    <row r="35" spans="1:24" x14ac:dyDescent="0.35">
      <c r="A35" s="320"/>
      <c r="B35" s="321"/>
      <c r="C35" s="320"/>
      <c r="D35" s="320"/>
      <c r="E35" s="320"/>
      <c r="F35" s="320"/>
      <c r="G35" s="320"/>
      <c r="H35" s="320"/>
      <c r="I35" s="320"/>
      <c r="J35" s="320"/>
      <c r="K35" s="320"/>
      <c r="L35" s="320"/>
      <c r="M35" s="320"/>
      <c r="N35" s="320"/>
      <c r="O35" s="320"/>
      <c r="P35" s="320"/>
      <c r="Q35" s="320"/>
      <c r="R35" s="320"/>
      <c r="S35" s="320"/>
      <c r="T35" s="320"/>
      <c r="U35" s="320"/>
      <c r="V35" s="320"/>
      <c r="W35" s="320"/>
      <c r="X35" s="320"/>
    </row>
  </sheetData>
  <mergeCells count="3">
    <mergeCell ref="B5:D5"/>
    <mergeCell ref="F5:H5"/>
    <mergeCell ref="J5:L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5601" r:id="rId3" name="Check Box 1">
              <controlPr defaultSize="0" autoFill="0" autoLine="0" autoPict="0">
                <anchor moveWithCells="1">
                  <from>
                    <xdr:col>3</xdr:col>
                    <xdr:colOff>0</xdr:colOff>
                    <xdr:row>5</xdr:row>
                    <xdr:rowOff>171450</xdr:rowOff>
                  </from>
                  <to>
                    <xdr:col>5</xdr:col>
                    <xdr:colOff>6350</xdr:colOff>
                    <xdr:row>7</xdr:row>
                    <xdr:rowOff>12700</xdr:rowOff>
                  </to>
                </anchor>
              </controlPr>
            </control>
          </mc:Choice>
        </mc:AlternateContent>
        <mc:AlternateContent xmlns:mc="http://schemas.openxmlformats.org/markup-compatibility/2006">
          <mc:Choice Requires="x14">
            <control shapeId="25602" r:id="rId4" name="Check Box 2">
              <controlPr defaultSize="0" autoFill="0" autoLine="0" autoPict="0">
                <anchor moveWithCells="1">
                  <from>
                    <xdr:col>3</xdr:col>
                    <xdr:colOff>0</xdr:colOff>
                    <xdr:row>6</xdr:row>
                    <xdr:rowOff>171450</xdr:rowOff>
                  </from>
                  <to>
                    <xdr:col>5</xdr:col>
                    <xdr:colOff>6350</xdr:colOff>
                    <xdr:row>8</xdr:row>
                    <xdr:rowOff>19050</xdr:rowOff>
                  </to>
                </anchor>
              </controlPr>
            </control>
          </mc:Choice>
        </mc:AlternateContent>
        <mc:AlternateContent xmlns:mc="http://schemas.openxmlformats.org/markup-compatibility/2006">
          <mc:Choice Requires="x14">
            <control shapeId="25603" r:id="rId5" name="Check Box 3">
              <controlPr defaultSize="0" autoFill="0" autoLine="0" autoPict="0">
                <anchor moveWithCells="1">
                  <from>
                    <xdr:col>3</xdr:col>
                    <xdr:colOff>0</xdr:colOff>
                    <xdr:row>7</xdr:row>
                    <xdr:rowOff>171450</xdr:rowOff>
                  </from>
                  <to>
                    <xdr:col>5</xdr:col>
                    <xdr:colOff>6350</xdr:colOff>
                    <xdr:row>9</xdr:row>
                    <xdr:rowOff>19050</xdr:rowOff>
                  </to>
                </anchor>
              </controlPr>
            </control>
          </mc:Choice>
        </mc:AlternateContent>
        <mc:AlternateContent xmlns:mc="http://schemas.openxmlformats.org/markup-compatibility/2006">
          <mc:Choice Requires="x14">
            <control shapeId="25604" r:id="rId6" name="Check Box 4">
              <controlPr defaultSize="0" autoFill="0" autoLine="0" autoPict="0">
                <anchor moveWithCells="1">
                  <from>
                    <xdr:col>3</xdr:col>
                    <xdr:colOff>0</xdr:colOff>
                    <xdr:row>8</xdr:row>
                    <xdr:rowOff>171450</xdr:rowOff>
                  </from>
                  <to>
                    <xdr:col>5</xdr:col>
                    <xdr:colOff>6350</xdr:colOff>
                    <xdr:row>10</xdr:row>
                    <xdr:rowOff>19050</xdr:rowOff>
                  </to>
                </anchor>
              </controlPr>
            </control>
          </mc:Choice>
        </mc:AlternateContent>
        <mc:AlternateContent xmlns:mc="http://schemas.openxmlformats.org/markup-compatibility/2006">
          <mc:Choice Requires="x14">
            <control shapeId="25605" r:id="rId7" name="Check Box 5">
              <controlPr defaultSize="0" autoFill="0" autoLine="0" autoPict="0">
                <anchor moveWithCells="1">
                  <from>
                    <xdr:col>3</xdr:col>
                    <xdr:colOff>0</xdr:colOff>
                    <xdr:row>9</xdr:row>
                    <xdr:rowOff>171450</xdr:rowOff>
                  </from>
                  <to>
                    <xdr:col>5</xdr:col>
                    <xdr:colOff>6350</xdr:colOff>
                    <xdr:row>11</xdr:row>
                    <xdr:rowOff>19050</xdr:rowOff>
                  </to>
                </anchor>
              </controlPr>
            </control>
          </mc:Choice>
        </mc:AlternateContent>
        <mc:AlternateContent xmlns:mc="http://schemas.openxmlformats.org/markup-compatibility/2006">
          <mc:Choice Requires="x14">
            <control shapeId="25606" r:id="rId8" name="Check Box 6">
              <controlPr defaultSize="0" autoFill="0" autoLine="0" autoPict="0">
                <anchor moveWithCells="1">
                  <from>
                    <xdr:col>3</xdr:col>
                    <xdr:colOff>0</xdr:colOff>
                    <xdr:row>10</xdr:row>
                    <xdr:rowOff>171450</xdr:rowOff>
                  </from>
                  <to>
                    <xdr:col>5</xdr:col>
                    <xdr:colOff>6350</xdr:colOff>
                    <xdr:row>12</xdr:row>
                    <xdr:rowOff>19050</xdr:rowOff>
                  </to>
                </anchor>
              </controlPr>
            </control>
          </mc:Choice>
        </mc:AlternateContent>
        <mc:AlternateContent xmlns:mc="http://schemas.openxmlformats.org/markup-compatibility/2006">
          <mc:Choice Requires="x14">
            <control shapeId="25607" r:id="rId9" name="Check Box 7">
              <controlPr defaultSize="0" autoFill="0" autoLine="0" autoPict="0">
                <anchor moveWithCells="1">
                  <from>
                    <xdr:col>3</xdr:col>
                    <xdr:colOff>0</xdr:colOff>
                    <xdr:row>11</xdr:row>
                    <xdr:rowOff>171450</xdr:rowOff>
                  </from>
                  <to>
                    <xdr:col>5</xdr:col>
                    <xdr:colOff>6350</xdr:colOff>
                    <xdr:row>13</xdr:row>
                    <xdr:rowOff>19050</xdr:rowOff>
                  </to>
                </anchor>
              </controlPr>
            </control>
          </mc:Choice>
        </mc:AlternateContent>
        <mc:AlternateContent xmlns:mc="http://schemas.openxmlformats.org/markup-compatibility/2006">
          <mc:Choice Requires="x14">
            <control shapeId="25608" r:id="rId10" name="Check Box 8">
              <controlPr defaultSize="0" autoFill="0" autoLine="0" autoPict="0">
                <anchor moveWithCells="1">
                  <from>
                    <xdr:col>3</xdr:col>
                    <xdr:colOff>0</xdr:colOff>
                    <xdr:row>12</xdr:row>
                    <xdr:rowOff>171450</xdr:rowOff>
                  </from>
                  <to>
                    <xdr:col>5</xdr:col>
                    <xdr:colOff>6350</xdr:colOff>
                    <xdr:row>14</xdr:row>
                    <xdr:rowOff>19050</xdr:rowOff>
                  </to>
                </anchor>
              </controlPr>
            </control>
          </mc:Choice>
        </mc:AlternateContent>
        <mc:AlternateContent xmlns:mc="http://schemas.openxmlformats.org/markup-compatibility/2006">
          <mc:Choice Requires="x14">
            <control shapeId="25609" r:id="rId11" name="Check Box 9">
              <controlPr defaultSize="0" autoFill="0" autoLine="0" autoPict="0">
                <anchor moveWithCells="1">
                  <from>
                    <xdr:col>3</xdr:col>
                    <xdr:colOff>0</xdr:colOff>
                    <xdr:row>13</xdr:row>
                    <xdr:rowOff>171450</xdr:rowOff>
                  </from>
                  <to>
                    <xdr:col>5</xdr:col>
                    <xdr:colOff>6350</xdr:colOff>
                    <xdr:row>15</xdr:row>
                    <xdr:rowOff>19050</xdr:rowOff>
                  </to>
                </anchor>
              </controlPr>
            </control>
          </mc:Choice>
        </mc:AlternateContent>
        <mc:AlternateContent xmlns:mc="http://schemas.openxmlformats.org/markup-compatibility/2006">
          <mc:Choice Requires="x14">
            <control shapeId="25610" r:id="rId12" name="Check Box 10">
              <controlPr defaultSize="0" autoFill="0" autoLine="0" autoPict="0">
                <anchor moveWithCells="1">
                  <from>
                    <xdr:col>3</xdr:col>
                    <xdr:colOff>0</xdr:colOff>
                    <xdr:row>14</xdr:row>
                    <xdr:rowOff>171450</xdr:rowOff>
                  </from>
                  <to>
                    <xdr:col>5</xdr:col>
                    <xdr:colOff>6350</xdr:colOff>
                    <xdr:row>16</xdr:row>
                    <xdr:rowOff>19050</xdr:rowOff>
                  </to>
                </anchor>
              </controlPr>
            </control>
          </mc:Choice>
        </mc:AlternateContent>
        <mc:AlternateContent xmlns:mc="http://schemas.openxmlformats.org/markup-compatibility/2006">
          <mc:Choice Requires="x14">
            <control shapeId="25611" r:id="rId13" name="Check Box 11">
              <controlPr defaultSize="0" autoFill="0" autoLine="0" autoPict="0">
                <anchor moveWithCells="1">
                  <from>
                    <xdr:col>3</xdr:col>
                    <xdr:colOff>0</xdr:colOff>
                    <xdr:row>15</xdr:row>
                    <xdr:rowOff>171450</xdr:rowOff>
                  </from>
                  <to>
                    <xdr:col>5</xdr:col>
                    <xdr:colOff>6350</xdr:colOff>
                    <xdr:row>17</xdr:row>
                    <xdr:rowOff>19050</xdr:rowOff>
                  </to>
                </anchor>
              </controlPr>
            </control>
          </mc:Choice>
        </mc:AlternateContent>
        <mc:AlternateContent xmlns:mc="http://schemas.openxmlformats.org/markup-compatibility/2006">
          <mc:Choice Requires="x14">
            <control shapeId="25612" r:id="rId14" name="Check Box 12">
              <controlPr defaultSize="0" autoFill="0" autoLine="0" autoPict="0">
                <anchor moveWithCells="1">
                  <from>
                    <xdr:col>3</xdr:col>
                    <xdr:colOff>0</xdr:colOff>
                    <xdr:row>16</xdr:row>
                    <xdr:rowOff>171450</xdr:rowOff>
                  </from>
                  <to>
                    <xdr:col>5</xdr:col>
                    <xdr:colOff>6350</xdr:colOff>
                    <xdr:row>18</xdr:row>
                    <xdr:rowOff>19050</xdr:rowOff>
                  </to>
                </anchor>
              </controlPr>
            </control>
          </mc:Choice>
        </mc:AlternateContent>
        <mc:AlternateContent xmlns:mc="http://schemas.openxmlformats.org/markup-compatibility/2006">
          <mc:Choice Requires="x14">
            <control shapeId="25613" r:id="rId15" name="Check Box 13">
              <controlPr defaultSize="0" autoFill="0" autoLine="0" autoPict="0">
                <anchor moveWithCells="1">
                  <from>
                    <xdr:col>3</xdr:col>
                    <xdr:colOff>0</xdr:colOff>
                    <xdr:row>17</xdr:row>
                    <xdr:rowOff>171450</xdr:rowOff>
                  </from>
                  <to>
                    <xdr:col>5</xdr:col>
                    <xdr:colOff>6350</xdr:colOff>
                    <xdr:row>19</xdr:row>
                    <xdr:rowOff>19050</xdr:rowOff>
                  </to>
                </anchor>
              </controlPr>
            </control>
          </mc:Choice>
        </mc:AlternateContent>
        <mc:AlternateContent xmlns:mc="http://schemas.openxmlformats.org/markup-compatibility/2006">
          <mc:Choice Requires="x14">
            <control shapeId="25614" r:id="rId16" name="Check Box 14">
              <controlPr defaultSize="0" autoFill="0" autoLine="0" autoPict="0">
                <anchor moveWithCells="1">
                  <from>
                    <xdr:col>3</xdr:col>
                    <xdr:colOff>0</xdr:colOff>
                    <xdr:row>18</xdr:row>
                    <xdr:rowOff>171450</xdr:rowOff>
                  </from>
                  <to>
                    <xdr:col>5</xdr:col>
                    <xdr:colOff>6350</xdr:colOff>
                    <xdr:row>20</xdr:row>
                    <xdr:rowOff>19050</xdr:rowOff>
                  </to>
                </anchor>
              </controlPr>
            </control>
          </mc:Choice>
        </mc:AlternateContent>
        <mc:AlternateContent xmlns:mc="http://schemas.openxmlformats.org/markup-compatibility/2006">
          <mc:Choice Requires="x14">
            <control shapeId="25615" r:id="rId17" name="Check Box 15">
              <controlPr defaultSize="0" autoFill="0" autoLine="0" autoPict="0">
                <anchor moveWithCells="1">
                  <from>
                    <xdr:col>3</xdr:col>
                    <xdr:colOff>0</xdr:colOff>
                    <xdr:row>19</xdr:row>
                    <xdr:rowOff>171450</xdr:rowOff>
                  </from>
                  <to>
                    <xdr:col>5</xdr:col>
                    <xdr:colOff>6350</xdr:colOff>
                    <xdr:row>21</xdr:row>
                    <xdr:rowOff>19050</xdr:rowOff>
                  </to>
                </anchor>
              </controlPr>
            </control>
          </mc:Choice>
        </mc:AlternateContent>
        <mc:AlternateContent xmlns:mc="http://schemas.openxmlformats.org/markup-compatibility/2006">
          <mc:Choice Requires="x14">
            <control shapeId="25616" r:id="rId18" name="Check Box 16">
              <controlPr defaultSize="0" autoFill="0" autoLine="0" autoPict="0">
                <anchor moveWithCells="1">
                  <from>
                    <xdr:col>3</xdr:col>
                    <xdr:colOff>0</xdr:colOff>
                    <xdr:row>20</xdr:row>
                    <xdr:rowOff>171450</xdr:rowOff>
                  </from>
                  <to>
                    <xdr:col>5</xdr:col>
                    <xdr:colOff>6350</xdr:colOff>
                    <xdr:row>22</xdr:row>
                    <xdr:rowOff>19050</xdr:rowOff>
                  </to>
                </anchor>
              </controlPr>
            </control>
          </mc:Choice>
        </mc:AlternateContent>
        <mc:AlternateContent xmlns:mc="http://schemas.openxmlformats.org/markup-compatibility/2006">
          <mc:Choice Requires="x14">
            <control shapeId="25617" r:id="rId19" name="Check Box 17">
              <controlPr defaultSize="0" autoFill="0" autoLine="0" autoPict="0">
                <anchor moveWithCells="1">
                  <from>
                    <xdr:col>3</xdr:col>
                    <xdr:colOff>0</xdr:colOff>
                    <xdr:row>21</xdr:row>
                    <xdr:rowOff>171450</xdr:rowOff>
                  </from>
                  <to>
                    <xdr:col>5</xdr:col>
                    <xdr:colOff>6350</xdr:colOff>
                    <xdr:row>23</xdr:row>
                    <xdr:rowOff>19050</xdr:rowOff>
                  </to>
                </anchor>
              </controlPr>
            </control>
          </mc:Choice>
        </mc:AlternateContent>
        <mc:AlternateContent xmlns:mc="http://schemas.openxmlformats.org/markup-compatibility/2006">
          <mc:Choice Requires="x14">
            <control shapeId="25618" r:id="rId20" name="Check Box 18">
              <controlPr defaultSize="0" autoFill="0" autoLine="0" autoPict="0">
                <anchor moveWithCells="1">
                  <from>
                    <xdr:col>3</xdr:col>
                    <xdr:colOff>0</xdr:colOff>
                    <xdr:row>22</xdr:row>
                    <xdr:rowOff>171450</xdr:rowOff>
                  </from>
                  <to>
                    <xdr:col>5</xdr:col>
                    <xdr:colOff>6350</xdr:colOff>
                    <xdr:row>24</xdr:row>
                    <xdr:rowOff>19050</xdr:rowOff>
                  </to>
                </anchor>
              </controlPr>
            </control>
          </mc:Choice>
        </mc:AlternateContent>
        <mc:AlternateContent xmlns:mc="http://schemas.openxmlformats.org/markup-compatibility/2006">
          <mc:Choice Requires="x14">
            <control shapeId="25619" r:id="rId21" name="Check Box 19">
              <controlPr defaultSize="0" autoFill="0" autoLine="0" autoPict="0">
                <anchor moveWithCells="1">
                  <from>
                    <xdr:col>3</xdr:col>
                    <xdr:colOff>0</xdr:colOff>
                    <xdr:row>23</xdr:row>
                    <xdr:rowOff>171450</xdr:rowOff>
                  </from>
                  <to>
                    <xdr:col>5</xdr:col>
                    <xdr:colOff>6350</xdr:colOff>
                    <xdr:row>25</xdr:row>
                    <xdr:rowOff>19050</xdr:rowOff>
                  </to>
                </anchor>
              </controlPr>
            </control>
          </mc:Choice>
        </mc:AlternateContent>
        <mc:AlternateContent xmlns:mc="http://schemas.openxmlformats.org/markup-compatibility/2006">
          <mc:Choice Requires="x14">
            <control shapeId="25620" r:id="rId22" name="Check Box 20">
              <controlPr defaultSize="0" autoFill="0" autoLine="0" autoPict="0">
                <anchor moveWithCells="1">
                  <from>
                    <xdr:col>3</xdr:col>
                    <xdr:colOff>0</xdr:colOff>
                    <xdr:row>24</xdr:row>
                    <xdr:rowOff>171450</xdr:rowOff>
                  </from>
                  <to>
                    <xdr:col>5</xdr:col>
                    <xdr:colOff>6350</xdr:colOff>
                    <xdr:row>26</xdr:row>
                    <xdr:rowOff>19050</xdr:rowOff>
                  </to>
                </anchor>
              </controlPr>
            </control>
          </mc:Choice>
        </mc:AlternateContent>
        <mc:AlternateContent xmlns:mc="http://schemas.openxmlformats.org/markup-compatibility/2006">
          <mc:Choice Requires="x14">
            <control shapeId="25621" r:id="rId23" name="Check Box 21">
              <controlPr defaultSize="0" autoFill="0" autoLine="0" autoPict="0">
                <anchor moveWithCells="1">
                  <from>
                    <xdr:col>3</xdr:col>
                    <xdr:colOff>0</xdr:colOff>
                    <xdr:row>25</xdr:row>
                    <xdr:rowOff>171450</xdr:rowOff>
                  </from>
                  <to>
                    <xdr:col>5</xdr:col>
                    <xdr:colOff>6350</xdr:colOff>
                    <xdr:row>27</xdr:row>
                    <xdr:rowOff>19050</xdr:rowOff>
                  </to>
                </anchor>
              </controlPr>
            </control>
          </mc:Choice>
        </mc:AlternateContent>
        <mc:AlternateContent xmlns:mc="http://schemas.openxmlformats.org/markup-compatibility/2006">
          <mc:Choice Requires="x14">
            <control shapeId="25622" r:id="rId24" name="Check Box 22">
              <controlPr defaultSize="0" autoFill="0" autoLine="0" autoPict="0">
                <anchor moveWithCells="1">
                  <from>
                    <xdr:col>3</xdr:col>
                    <xdr:colOff>0</xdr:colOff>
                    <xdr:row>26</xdr:row>
                    <xdr:rowOff>171450</xdr:rowOff>
                  </from>
                  <to>
                    <xdr:col>5</xdr:col>
                    <xdr:colOff>6350</xdr:colOff>
                    <xdr:row>28</xdr:row>
                    <xdr:rowOff>19050</xdr:rowOff>
                  </to>
                </anchor>
              </controlPr>
            </control>
          </mc:Choice>
        </mc:AlternateContent>
        <mc:AlternateContent xmlns:mc="http://schemas.openxmlformats.org/markup-compatibility/2006">
          <mc:Choice Requires="x14">
            <control shapeId="25623" r:id="rId25" name="Check Box 23">
              <controlPr defaultSize="0" autoFill="0" autoLine="0" autoPict="0">
                <anchor moveWithCells="1">
                  <from>
                    <xdr:col>3</xdr:col>
                    <xdr:colOff>0</xdr:colOff>
                    <xdr:row>27</xdr:row>
                    <xdr:rowOff>171450</xdr:rowOff>
                  </from>
                  <to>
                    <xdr:col>5</xdr:col>
                    <xdr:colOff>6350</xdr:colOff>
                    <xdr:row>29</xdr:row>
                    <xdr:rowOff>19050</xdr:rowOff>
                  </to>
                </anchor>
              </controlPr>
            </control>
          </mc:Choice>
        </mc:AlternateContent>
        <mc:AlternateContent xmlns:mc="http://schemas.openxmlformats.org/markup-compatibility/2006">
          <mc:Choice Requires="x14">
            <control shapeId="25624" r:id="rId26" name="Check Box 24">
              <controlPr defaultSize="0" autoFill="0" autoLine="0" autoPict="0">
                <anchor moveWithCells="1">
                  <from>
                    <xdr:col>3</xdr:col>
                    <xdr:colOff>0</xdr:colOff>
                    <xdr:row>28</xdr:row>
                    <xdr:rowOff>171450</xdr:rowOff>
                  </from>
                  <to>
                    <xdr:col>5</xdr:col>
                    <xdr:colOff>6350</xdr:colOff>
                    <xdr:row>30</xdr:row>
                    <xdr:rowOff>19050</xdr:rowOff>
                  </to>
                </anchor>
              </controlPr>
            </control>
          </mc:Choice>
        </mc:AlternateContent>
        <mc:AlternateContent xmlns:mc="http://schemas.openxmlformats.org/markup-compatibility/2006">
          <mc:Choice Requires="x14">
            <control shapeId="25625" r:id="rId27" name="Check Box 25">
              <controlPr defaultSize="0" autoFill="0" autoLine="0" autoPict="0">
                <anchor moveWithCells="1">
                  <from>
                    <xdr:col>3</xdr:col>
                    <xdr:colOff>0</xdr:colOff>
                    <xdr:row>29</xdr:row>
                    <xdr:rowOff>171450</xdr:rowOff>
                  </from>
                  <to>
                    <xdr:col>5</xdr:col>
                    <xdr:colOff>6350</xdr:colOff>
                    <xdr:row>31</xdr:row>
                    <xdr:rowOff>19050</xdr:rowOff>
                  </to>
                </anchor>
              </controlPr>
            </control>
          </mc:Choice>
        </mc:AlternateContent>
        <mc:AlternateContent xmlns:mc="http://schemas.openxmlformats.org/markup-compatibility/2006">
          <mc:Choice Requires="x14">
            <control shapeId="25626" r:id="rId28" name="Check Box 26">
              <controlPr defaultSize="0" autoFill="0" autoLine="0" autoPict="0">
                <anchor moveWithCells="1">
                  <from>
                    <xdr:col>3</xdr:col>
                    <xdr:colOff>0</xdr:colOff>
                    <xdr:row>30</xdr:row>
                    <xdr:rowOff>171450</xdr:rowOff>
                  </from>
                  <to>
                    <xdr:col>5</xdr:col>
                    <xdr:colOff>6350</xdr:colOff>
                    <xdr:row>32</xdr:row>
                    <xdr:rowOff>19050</xdr:rowOff>
                  </to>
                </anchor>
              </controlPr>
            </control>
          </mc:Choice>
        </mc:AlternateContent>
        <mc:AlternateContent xmlns:mc="http://schemas.openxmlformats.org/markup-compatibility/2006">
          <mc:Choice Requires="x14">
            <control shapeId="25627" r:id="rId29" name="Check Box 27">
              <controlPr defaultSize="0" autoFill="0" autoLine="0" autoPict="0">
                <anchor moveWithCells="1">
                  <from>
                    <xdr:col>3</xdr:col>
                    <xdr:colOff>0</xdr:colOff>
                    <xdr:row>31</xdr:row>
                    <xdr:rowOff>171450</xdr:rowOff>
                  </from>
                  <to>
                    <xdr:col>5</xdr:col>
                    <xdr:colOff>6350</xdr:colOff>
                    <xdr:row>33</xdr:row>
                    <xdr:rowOff>12700</xdr:rowOff>
                  </to>
                </anchor>
              </controlPr>
            </control>
          </mc:Choice>
        </mc:AlternateContent>
        <mc:AlternateContent xmlns:mc="http://schemas.openxmlformats.org/markup-compatibility/2006">
          <mc:Choice Requires="x14">
            <control shapeId="25628" r:id="rId30" name="Check Box 28">
              <controlPr defaultSize="0" autoFill="0" autoLine="0" autoPict="0">
                <anchor moveWithCells="1">
                  <from>
                    <xdr:col>7</xdr:col>
                    <xdr:colOff>0</xdr:colOff>
                    <xdr:row>5</xdr:row>
                    <xdr:rowOff>171450</xdr:rowOff>
                  </from>
                  <to>
                    <xdr:col>8</xdr:col>
                    <xdr:colOff>520700</xdr:colOff>
                    <xdr:row>7</xdr:row>
                    <xdr:rowOff>12700</xdr:rowOff>
                  </to>
                </anchor>
              </controlPr>
            </control>
          </mc:Choice>
        </mc:AlternateContent>
        <mc:AlternateContent xmlns:mc="http://schemas.openxmlformats.org/markup-compatibility/2006">
          <mc:Choice Requires="x14">
            <control shapeId="25629" r:id="rId31" name="Check Box 29">
              <controlPr defaultSize="0" autoFill="0" autoLine="0" autoPict="0">
                <anchor moveWithCells="1">
                  <from>
                    <xdr:col>7</xdr:col>
                    <xdr:colOff>0</xdr:colOff>
                    <xdr:row>6</xdr:row>
                    <xdr:rowOff>171450</xdr:rowOff>
                  </from>
                  <to>
                    <xdr:col>8</xdr:col>
                    <xdr:colOff>520700</xdr:colOff>
                    <xdr:row>8</xdr:row>
                    <xdr:rowOff>19050</xdr:rowOff>
                  </to>
                </anchor>
              </controlPr>
            </control>
          </mc:Choice>
        </mc:AlternateContent>
        <mc:AlternateContent xmlns:mc="http://schemas.openxmlformats.org/markup-compatibility/2006">
          <mc:Choice Requires="x14">
            <control shapeId="25630" r:id="rId32" name="Check Box 30">
              <controlPr defaultSize="0" autoFill="0" autoLine="0" autoPict="0">
                <anchor moveWithCells="1">
                  <from>
                    <xdr:col>7</xdr:col>
                    <xdr:colOff>0</xdr:colOff>
                    <xdr:row>7</xdr:row>
                    <xdr:rowOff>171450</xdr:rowOff>
                  </from>
                  <to>
                    <xdr:col>8</xdr:col>
                    <xdr:colOff>520700</xdr:colOff>
                    <xdr:row>9</xdr:row>
                    <xdr:rowOff>19050</xdr:rowOff>
                  </to>
                </anchor>
              </controlPr>
            </control>
          </mc:Choice>
        </mc:AlternateContent>
        <mc:AlternateContent xmlns:mc="http://schemas.openxmlformats.org/markup-compatibility/2006">
          <mc:Choice Requires="x14">
            <control shapeId="25631" r:id="rId33" name="Check Box 31">
              <controlPr defaultSize="0" autoFill="0" autoLine="0" autoPict="0">
                <anchor moveWithCells="1">
                  <from>
                    <xdr:col>7</xdr:col>
                    <xdr:colOff>0</xdr:colOff>
                    <xdr:row>8</xdr:row>
                    <xdr:rowOff>171450</xdr:rowOff>
                  </from>
                  <to>
                    <xdr:col>8</xdr:col>
                    <xdr:colOff>520700</xdr:colOff>
                    <xdr:row>10</xdr:row>
                    <xdr:rowOff>19050</xdr:rowOff>
                  </to>
                </anchor>
              </controlPr>
            </control>
          </mc:Choice>
        </mc:AlternateContent>
        <mc:AlternateContent xmlns:mc="http://schemas.openxmlformats.org/markup-compatibility/2006">
          <mc:Choice Requires="x14">
            <control shapeId="25632" r:id="rId34" name="Check Box 32">
              <controlPr defaultSize="0" autoFill="0" autoLine="0" autoPict="0">
                <anchor moveWithCells="1">
                  <from>
                    <xdr:col>7</xdr:col>
                    <xdr:colOff>0</xdr:colOff>
                    <xdr:row>9</xdr:row>
                    <xdr:rowOff>171450</xdr:rowOff>
                  </from>
                  <to>
                    <xdr:col>8</xdr:col>
                    <xdr:colOff>520700</xdr:colOff>
                    <xdr:row>11</xdr:row>
                    <xdr:rowOff>19050</xdr:rowOff>
                  </to>
                </anchor>
              </controlPr>
            </control>
          </mc:Choice>
        </mc:AlternateContent>
        <mc:AlternateContent xmlns:mc="http://schemas.openxmlformats.org/markup-compatibility/2006">
          <mc:Choice Requires="x14">
            <control shapeId="25633" r:id="rId35" name="Check Box 33">
              <controlPr defaultSize="0" autoFill="0" autoLine="0" autoPict="0">
                <anchor moveWithCells="1">
                  <from>
                    <xdr:col>7</xdr:col>
                    <xdr:colOff>0</xdr:colOff>
                    <xdr:row>10</xdr:row>
                    <xdr:rowOff>171450</xdr:rowOff>
                  </from>
                  <to>
                    <xdr:col>8</xdr:col>
                    <xdr:colOff>520700</xdr:colOff>
                    <xdr:row>12</xdr:row>
                    <xdr:rowOff>19050</xdr:rowOff>
                  </to>
                </anchor>
              </controlPr>
            </control>
          </mc:Choice>
        </mc:AlternateContent>
        <mc:AlternateContent xmlns:mc="http://schemas.openxmlformats.org/markup-compatibility/2006">
          <mc:Choice Requires="x14">
            <control shapeId="25634" r:id="rId36" name="Check Box 34">
              <controlPr defaultSize="0" autoFill="0" autoLine="0" autoPict="0">
                <anchor moveWithCells="1">
                  <from>
                    <xdr:col>7</xdr:col>
                    <xdr:colOff>0</xdr:colOff>
                    <xdr:row>11</xdr:row>
                    <xdr:rowOff>171450</xdr:rowOff>
                  </from>
                  <to>
                    <xdr:col>8</xdr:col>
                    <xdr:colOff>520700</xdr:colOff>
                    <xdr:row>13</xdr:row>
                    <xdr:rowOff>19050</xdr:rowOff>
                  </to>
                </anchor>
              </controlPr>
            </control>
          </mc:Choice>
        </mc:AlternateContent>
        <mc:AlternateContent xmlns:mc="http://schemas.openxmlformats.org/markup-compatibility/2006">
          <mc:Choice Requires="x14">
            <control shapeId="25635" r:id="rId37" name="Check Box 35">
              <controlPr defaultSize="0" autoFill="0" autoLine="0" autoPict="0">
                <anchor moveWithCells="1">
                  <from>
                    <xdr:col>7</xdr:col>
                    <xdr:colOff>0</xdr:colOff>
                    <xdr:row>12</xdr:row>
                    <xdr:rowOff>171450</xdr:rowOff>
                  </from>
                  <to>
                    <xdr:col>8</xdr:col>
                    <xdr:colOff>520700</xdr:colOff>
                    <xdr:row>14</xdr:row>
                    <xdr:rowOff>19050</xdr:rowOff>
                  </to>
                </anchor>
              </controlPr>
            </control>
          </mc:Choice>
        </mc:AlternateContent>
        <mc:AlternateContent xmlns:mc="http://schemas.openxmlformats.org/markup-compatibility/2006">
          <mc:Choice Requires="x14">
            <control shapeId="25636" r:id="rId38" name="Check Box 36">
              <controlPr defaultSize="0" autoFill="0" autoLine="0" autoPict="0">
                <anchor moveWithCells="1">
                  <from>
                    <xdr:col>7</xdr:col>
                    <xdr:colOff>0</xdr:colOff>
                    <xdr:row>13</xdr:row>
                    <xdr:rowOff>171450</xdr:rowOff>
                  </from>
                  <to>
                    <xdr:col>8</xdr:col>
                    <xdr:colOff>520700</xdr:colOff>
                    <xdr:row>15</xdr:row>
                    <xdr:rowOff>19050</xdr:rowOff>
                  </to>
                </anchor>
              </controlPr>
            </control>
          </mc:Choice>
        </mc:AlternateContent>
        <mc:AlternateContent xmlns:mc="http://schemas.openxmlformats.org/markup-compatibility/2006">
          <mc:Choice Requires="x14">
            <control shapeId="25637" r:id="rId39" name="Check Box 37">
              <controlPr defaultSize="0" autoFill="0" autoLine="0" autoPict="0">
                <anchor moveWithCells="1">
                  <from>
                    <xdr:col>7</xdr:col>
                    <xdr:colOff>0</xdr:colOff>
                    <xdr:row>14</xdr:row>
                    <xdr:rowOff>171450</xdr:rowOff>
                  </from>
                  <to>
                    <xdr:col>8</xdr:col>
                    <xdr:colOff>520700</xdr:colOff>
                    <xdr:row>16</xdr:row>
                    <xdr:rowOff>19050</xdr:rowOff>
                  </to>
                </anchor>
              </controlPr>
            </control>
          </mc:Choice>
        </mc:AlternateContent>
        <mc:AlternateContent xmlns:mc="http://schemas.openxmlformats.org/markup-compatibility/2006">
          <mc:Choice Requires="x14">
            <control shapeId="25638" r:id="rId40" name="Check Box 38">
              <controlPr defaultSize="0" autoFill="0" autoLine="0" autoPict="0">
                <anchor moveWithCells="1">
                  <from>
                    <xdr:col>7</xdr:col>
                    <xdr:colOff>0</xdr:colOff>
                    <xdr:row>15</xdr:row>
                    <xdr:rowOff>171450</xdr:rowOff>
                  </from>
                  <to>
                    <xdr:col>8</xdr:col>
                    <xdr:colOff>520700</xdr:colOff>
                    <xdr:row>17</xdr:row>
                    <xdr:rowOff>19050</xdr:rowOff>
                  </to>
                </anchor>
              </controlPr>
            </control>
          </mc:Choice>
        </mc:AlternateContent>
        <mc:AlternateContent xmlns:mc="http://schemas.openxmlformats.org/markup-compatibility/2006">
          <mc:Choice Requires="x14">
            <control shapeId="25639" r:id="rId41" name="Check Box 39">
              <controlPr defaultSize="0" autoFill="0" autoLine="0" autoPict="0">
                <anchor moveWithCells="1">
                  <from>
                    <xdr:col>7</xdr:col>
                    <xdr:colOff>0</xdr:colOff>
                    <xdr:row>16</xdr:row>
                    <xdr:rowOff>171450</xdr:rowOff>
                  </from>
                  <to>
                    <xdr:col>8</xdr:col>
                    <xdr:colOff>520700</xdr:colOff>
                    <xdr:row>18</xdr:row>
                    <xdr:rowOff>19050</xdr:rowOff>
                  </to>
                </anchor>
              </controlPr>
            </control>
          </mc:Choice>
        </mc:AlternateContent>
        <mc:AlternateContent xmlns:mc="http://schemas.openxmlformats.org/markup-compatibility/2006">
          <mc:Choice Requires="x14">
            <control shapeId="25640" r:id="rId42" name="Check Box 40">
              <controlPr defaultSize="0" autoFill="0" autoLine="0" autoPict="0">
                <anchor moveWithCells="1">
                  <from>
                    <xdr:col>7</xdr:col>
                    <xdr:colOff>0</xdr:colOff>
                    <xdr:row>17</xdr:row>
                    <xdr:rowOff>171450</xdr:rowOff>
                  </from>
                  <to>
                    <xdr:col>8</xdr:col>
                    <xdr:colOff>520700</xdr:colOff>
                    <xdr:row>19</xdr:row>
                    <xdr:rowOff>19050</xdr:rowOff>
                  </to>
                </anchor>
              </controlPr>
            </control>
          </mc:Choice>
        </mc:AlternateContent>
        <mc:AlternateContent xmlns:mc="http://schemas.openxmlformats.org/markup-compatibility/2006">
          <mc:Choice Requires="x14">
            <control shapeId="25641" r:id="rId43" name="Check Box 41">
              <controlPr defaultSize="0" autoFill="0" autoLine="0" autoPict="0">
                <anchor moveWithCells="1">
                  <from>
                    <xdr:col>7</xdr:col>
                    <xdr:colOff>0</xdr:colOff>
                    <xdr:row>18</xdr:row>
                    <xdr:rowOff>171450</xdr:rowOff>
                  </from>
                  <to>
                    <xdr:col>8</xdr:col>
                    <xdr:colOff>520700</xdr:colOff>
                    <xdr:row>20</xdr:row>
                    <xdr:rowOff>19050</xdr:rowOff>
                  </to>
                </anchor>
              </controlPr>
            </control>
          </mc:Choice>
        </mc:AlternateContent>
        <mc:AlternateContent xmlns:mc="http://schemas.openxmlformats.org/markup-compatibility/2006">
          <mc:Choice Requires="x14">
            <control shapeId="25642" r:id="rId44" name="Check Box 42">
              <controlPr defaultSize="0" autoFill="0" autoLine="0" autoPict="0">
                <anchor moveWithCells="1">
                  <from>
                    <xdr:col>7</xdr:col>
                    <xdr:colOff>0</xdr:colOff>
                    <xdr:row>19</xdr:row>
                    <xdr:rowOff>171450</xdr:rowOff>
                  </from>
                  <to>
                    <xdr:col>8</xdr:col>
                    <xdr:colOff>520700</xdr:colOff>
                    <xdr:row>21</xdr:row>
                    <xdr:rowOff>19050</xdr:rowOff>
                  </to>
                </anchor>
              </controlPr>
            </control>
          </mc:Choice>
        </mc:AlternateContent>
        <mc:AlternateContent xmlns:mc="http://schemas.openxmlformats.org/markup-compatibility/2006">
          <mc:Choice Requires="x14">
            <control shapeId="25643" r:id="rId45" name="Check Box 43">
              <controlPr defaultSize="0" autoFill="0" autoLine="0" autoPict="0">
                <anchor moveWithCells="1">
                  <from>
                    <xdr:col>7</xdr:col>
                    <xdr:colOff>0</xdr:colOff>
                    <xdr:row>20</xdr:row>
                    <xdr:rowOff>171450</xdr:rowOff>
                  </from>
                  <to>
                    <xdr:col>8</xdr:col>
                    <xdr:colOff>520700</xdr:colOff>
                    <xdr:row>22</xdr:row>
                    <xdr:rowOff>19050</xdr:rowOff>
                  </to>
                </anchor>
              </controlPr>
            </control>
          </mc:Choice>
        </mc:AlternateContent>
        <mc:AlternateContent xmlns:mc="http://schemas.openxmlformats.org/markup-compatibility/2006">
          <mc:Choice Requires="x14">
            <control shapeId="25644" r:id="rId46" name="Check Box 44">
              <controlPr defaultSize="0" autoFill="0" autoLine="0" autoPict="0">
                <anchor moveWithCells="1">
                  <from>
                    <xdr:col>7</xdr:col>
                    <xdr:colOff>0</xdr:colOff>
                    <xdr:row>21</xdr:row>
                    <xdr:rowOff>171450</xdr:rowOff>
                  </from>
                  <to>
                    <xdr:col>8</xdr:col>
                    <xdr:colOff>520700</xdr:colOff>
                    <xdr:row>23</xdr:row>
                    <xdr:rowOff>19050</xdr:rowOff>
                  </to>
                </anchor>
              </controlPr>
            </control>
          </mc:Choice>
        </mc:AlternateContent>
        <mc:AlternateContent xmlns:mc="http://schemas.openxmlformats.org/markup-compatibility/2006">
          <mc:Choice Requires="x14">
            <control shapeId="25645" r:id="rId47" name="Check Box 45">
              <controlPr defaultSize="0" autoFill="0" autoLine="0" autoPict="0">
                <anchor moveWithCells="1">
                  <from>
                    <xdr:col>7</xdr:col>
                    <xdr:colOff>0</xdr:colOff>
                    <xdr:row>22</xdr:row>
                    <xdr:rowOff>171450</xdr:rowOff>
                  </from>
                  <to>
                    <xdr:col>8</xdr:col>
                    <xdr:colOff>520700</xdr:colOff>
                    <xdr:row>24</xdr:row>
                    <xdr:rowOff>19050</xdr:rowOff>
                  </to>
                </anchor>
              </controlPr>
            </control>
          </mc:Choice>
        </mc:AlternateContent>
        <mc:AlternateContent xmlns:mc="http://schemas.openxmlformats.org/markup-compatibility/2006">
          <mc:Choice Requires="x14">
            <control shapeId="25646" r:id="rId48" name="Check Box 46">
              <controlPr defaultSize="0" autoFill="0" autoLine="0" autoPict="0">
                <anchor moveWithCells="1">
                  <from>
                    <xdr:col>7</xdr:col>
                    <xdr:colOff>0</xdr:colOff>
                    <xdr:row>23</xdr:row>
                    <xdr:rowOff>171450</xdr:rowOff>
                  </from>
                  <to>
                    <xdr:col>8</xdr:col>
                    <xdr:colOff>520700</xdr:colOff>
                    <xdr:row>25</xdr:row>
                    <xdr:rowOff>19050</xdr:rowOff>
                  </to>
                </anchor>
              </controlPr>
            </control>
          </mc:Choice>
        </mc:AlternateContent>
        <mc:AlternateContent xmlns:mc="http://schemas.openxmlformats.org/markup-compatibility/2006">
          <mc:Choice Requires="x14">
            <control shapeId="25647" r:id="rId49" name="Check Box 47">
              <controlPr defaultSize="0" autoFill="0" autoLine="0" autoPict="0">
                <anchor moveWithCells="1">
                  <from>
                    <xdr:col>7</xdr:col>
                    <xdr:colOff>0</xdr:colOff>
                    <xdr:row>24</xdr:row>
                    <xdr:rowOff>171450</xdr:rowOff>
                  </from>
                  <to>
                    <xdr:col>8</xdr:col>
                    <xdr:colOff>520700</xdr:colOff>
                    <xdr:row>26</xdr:row>
                    <xdr:rowOff>19050</xdr:rowOff>
                  </to>
                </anchor>
              </controlPr>
            </control>
          </mc:Choice>
        </mc:AlternateContent>
        <mc:AlternateContent xmlns:mc="http://schemas.openxmlformats.org/markup-compatibility/2006">
          <mc:Choice Requires="x14">
            <control shapeId="25648" r:id="rId50" name="Check Box 48">
              <controlPr defaultSize="0" autoFill="0" autoLine="0" autoPict="0">
                <anchor moveWithCells="1">
                  <from>
                    <xdr:col>7</xdr:col>
                    <xdr:colOff>0</xdr:colOff>
                    <xdr:row>25</xdr:row>
                    <xdr:rowOff>171450</xdr:rowOff>
                  </from>
                  <to>
                    <xdr:col>8</xdr:col>
                    <xdr:colOff>520700</xdr:colOff>
                    <xdr:row>27</xdr:row>
                    <xdr:rowOff>19050</xdr:rowOff>
                  </to>
                </anchor>
              </controlPr>
            </control>
          </mc:Choice>
        </mc:AlternateContent>
        <mc:AlternateContent xmlns:mc="http://schemas.openxmlformats.org/markup-compatibility/2006">
          <mc:Choice Requires="x14">
            <control shapeId="25649" r:id="rId51" name="Check Box 49">
              <controlPr defaultSize="0" autoFill="0" autoLine="0" autoPict="0">
                <anchor moveWithCells="1">
                  <from>
                    <xdr:col>7</xdr:col>
                    <xdr:colOff>0</xdr:colOff>
                    <xdr:row>26</xdr:row>
                    <xdr:rowOff>171450</xdr:rowOff>
                  </from>
                  <to>
                    <xdr:col>8</xdr:col>
                    <xdr:colOff>520700</xdr:colOff>
                    <xdr:row>28</xdr:row>
                    <xdr:rowOff>19050</xdr:rowOff>
                  </to>
                </anchor>
              </controlPr>
            </control>
          </mc:Choice>
        </mc:AlternateContent>
        <mc:AlternateContent xmlns:mc="http://schemas.openxmlformats.org/markup-compatibility/2006">
          <mc:Choice Requires="x14">
            <control shapeId="25650" r:id="rId52" name="Check Box 50">
              <controlPr defaultSize="0" autoFill="0" autoLine="0" autoPict="0">
                <anchor moveWithCells="1">
                  <from>
                    <xdr:col>7</xdr:col>
                    <xdr:colOff>0</xdr:colOff>
                    <xdr:row>27</xdr:row>
                    <xdr:rowOff>171450</xdr:rowOff>
                  </from>
                  <to>
                    <xdr:col>8</xdr:col>
                    <xdr:colOff>520700</xdr:colOff>
                    <xdr:row>29</xdr:row>
                    <xdr:rowOff>19050</xdr:rowOff>
                  </to>
                </anchor>
              </controlPr>
            </control>
          </mc:Choice>
        </mc:AlternateContent>
        <mc:AlternateContent xmlns:mc="http://schemas.openxmlformats.org/markup-compatibility/2006">
          <mc:Choice Requires="x14">
            <control shapeId="25651" r:id="rId53" name="Check Box 51">
              <controlPr defaultSize="0" autoFill="0" autoLine="0" autoPict="0">
                <anchor moveWithCells="1">
                  <from>
                    <xdr:col>7</xdr:col>
                    <xdr:colOff>0</xdr:colOff>
                    <xdr:row>28</xdr:row>
                    <xdr:rowOff>171450</xdr:rowOff>
                  </from>
                  <to>
                    <xdr:col>8</xdr:col>
                    <xdr:colOff>520700</xdr:colOff>
                    <xdr:row>30</xdr:row>
                    <xdr:rowOff>19050</xdr:rowOff>
                  </to>
                </anchor>
              </controlPr>
            </control>
          </mc:Choice>
        </mc:AlternateContent>
        <mc:AlternateContent xmlns:mc="http://schemas.openxmlformats.org/markup-compatibility/2006">
          <mc:Choice Requires="x14">
            <control shapeId="25652" r:id="rId54" name="Check Box 52">
              <controlPr defaultSize="0" autoFill="0" autoLine="0" autoPict="0">
                <anchor moveWithCells="1">
                  <from>
                    <xdr:col>7</xdr:col>
                    <xdr:colOff>0</xdr:colOff>
                    <xdr:row>29</xdr:row>
                    <xdr:rowOff>171450</xdr:rowOff>
                  </from>
                  <to>
                    <xdr:col>8</xdr:col>
                    <xdr:colOff>520700</xdr:colOff>
                    <xdr:row>31</xdr:row>
                    <xdr:rowOff>19050</xdr:rowOff>
                  </to>
                </anchor>
              </controlPr>
            </control>
          </mc:Choice>
        </mc:AlternateContent>
        <mc:AlternateContent xmlns:mc="http://schemas.openxmlformats.org/markup-compatibility/2006">
          <mc:Choice Requires="x14">
            <control shapeId="25653" r:id="rId55" name="Check Box 53">
              <controlPr defaultSize="0" autoFill="0" autoLine="0" autoPict="0">
                <anchor moveWithCells="1">
                  <from>
                    <xdr:col>7</xdr:col>
                    <xdr:colOff>0</xdr:colOff>
                    <xdr:row>30</xdr:row>
                    <xdr:rowOff>171450</xdr:rowOff>
                  </from>
                  <to>
                    <xdr:col>8</xdr:col>
                    <xdr:colOff>520700</xdr:colOff>
                    <xdr:row>32</xdr:row>
                    <xdr:rowOff>19050</xdr:rowOff>
                  </to>
                </anchor>
              </controlPr>
            </control>
          </mc:Choice>
        </mc:AlternateContent>
        <mc:AlternateContent xmlns:mc="http://schemas.openxmlformats.org/markup-compatibility/2006">
          <mc:Choice Requires="x14">
            <control shapeId="25654" r:id="rId56" name="Check Box 54">
              <controlPr defaultSize="0" autoFill="0" autoLine="0" autoPict="0">
                <anchor moveWithCells="1">
                  <from>
                    <xdr:col>7</xdr:col>
                    <xdr:colOff>0</xdr:colOff>
                    <xdr:row>31</xdr:row>
                    <xdr:rowOff>171450</xdr:rowOff>
                  </from>
                  <to>
                    <xdr:col>8</xdr:col>
                    <xdr:colOff>520700</xdr:colOff>
                    <xdr:row>33</xdr:row>
                    <xdr:rowOff>12700</xdr:rowOff>
                  </to>
                </anchor>
              </controlPr>
            </control>
          </mc:Choice>
        </mc:AlternateContent>
        <mc:AlternateContent xmlns:mc="http://schemas.openxmlformats.org/markup-compatibility/2006">
          <mc:Choice Requires="x14">
            <control shapeId="25655" r:id="rId57" name="Check Box 55">
              <controlPr defaultSize="0" autoFill="0" autoLine="0" autoPict="0">
                <anchor moveWithCells="1">
                  <from>
                    <xdr:col>11</xdr:col>
                    <xdr:colOff>0</xdr:colOff>
                    <xdr:row>5</xdr:row>
                    <xdr:rowOff>171450</xdr:rowOff>
                  </from>
                  <to>
                    <xdr:col>12</xdr:col>
                    <xdr:colOff>520700</xdr:colOff>
                    <xdr:row>7</xdr:row>
                    <xdr:rowOff>12700</xdr:rowOff>
                  </to>
                </anchor>
              </controlPr>
            </control>
          </mc:Choice>
        </mc:AlternateContent>
        <mc:AlternateContent xmlns:mc="http://schemas.openxmlformats.org/markup-compatibility/2006">
          <mc:Choice Requires="x14">
            <control shapeId="25656" r:id="rId58" name="Check Box 56">
              <controlPr defaultSize="0" autoFill="0" autoLine="0" autoPict="0">
                <anchor moveWithCells="1">
                  <from>
                    <xdr:col>11</xdr:col>
                    <xdr:colOff>0</xdr:colOff>
                    <xdr:row>6</xdr:row>
                    <xdr:rowOff>171450</xdr:rowOff>
                  </from>
                  <to>
                    <xdr:col>12</xdr:col>
                    <xdr:colOff>520700</xdr:colOff>
                    <xdr:row>8</xdr:row>
                    <xdr:rowOff>19050</xdr:rowOff>
                  </to>
                </anchor>
              </controlPr>
            </control>
          </mc:Choice>
        </mc:AlternateContent>
        <mc:AlternateContent xmlns:mc="http://schemas.openxmlformats.org/markup-compatibility/2006">
          <mc:Choice Requires="x14">
            <control shapeId="25657" r:id="rId59" name="Check Box 57">
              <controlPr defaultSize="0" autoFill="0" autoLine="0" autoPict="0">
                <anchor moveWithCells="1">
                  <from>
                    <xdr:col>11</xdr:col>
                    <xdr:colOff>0</xdr:colOff>
                    <xdr:row>7</xdr:row>
                    <xdr:rowOff>171450</xdr:rowOff>
                  </from>
                  <to>
                    <xdr:col>12</xdr:col>
                    <xdr:colOff>520700</xdr:colOff>
                    <xdr:row>9</xdr:row>
                    <xdr:rowOff>19050</xdr:rowOff>
                  </to>
                </anchor>
              </controlPr>
            </control>
          </mc:Choice>
        </mc:AlternateContent>
        <mc:AlternateContent xmlns:mc="http://schemas.openxmlformats.org/markup-compatibility/2006">
          <mc:Choice Requires="x14">
            <control shapeId="25658" r:id="rId60" name="Check Box 58">
              <controlPr defaultSize="0" autoFill="0" autoLine="0" autoPict="0">
                <anchor moveWithCells="1">
                  <from>
                    <xdr:col>11</xdr:col>
                    <xdr:colOff>0</xdr:colOff>
                    <xdr:row>8</xdr:row>
                    <xdr:rowOff>171450</xdr:rowOff>
                  </from>
                  <to>
                    <xdr:col>12</xdr:col>
                    <xdr:colOff>520700</xdr:colOff>
                    <xdr:row>10</xdr:row>
                    <xdr:rowOff>19050</xdr:rowOff>
                  </to>
                </anchor>
              </controlPr>
            </control>
          </mc:Choice>
        </mc:AlternateContent>
        <mc:AlternateContent xmlns:mc="http://schemas.openxmlformats.org/markup-compatibility/2006">
          <mc:Choice Requires="x14">
            <control shapeId="25659" r:id="rId61" name="Check Box 59">
              <controlPr defaultSize="0" autoFill="0" autoLine="0" autoPict="0">
                <anchor moveWithCells="1">
                  <from>
                    <xdr:col>11</xdr:col>
                    <xdr:colOff>0</xdr:colOff>
                    <xdr:row>9</xdr:row>
                    <xdr:rowOff>171450</xdr:rowOff>
                  </from>
                  <to>
                    <xdr:col>12</xdr:col>
                    <xdr:colOff>520700</xdr:colOff>
                    <xdr:row>11</xdr:row>
                    <xdr:rowOff>19050</xdr:rowOff>
                  </to>
                </anchor>
              </controlPr>
            </control>
          </mc:Choice>
        </mc:AlternateContent>
        <mc:AlternateContent xmlns:mc="http://schemas.openxmlformats.org/markup-compatibility/2006">
          <mc:Choice Requires="x14">
            <control shapeId="25660" r:id="rId62" name="Check Box 60">
              <controlPr defaultSize="0" autoFill="0" autoLine="0" autoPict="0">
                <anchor moveWithCells="1">
                  <from>
                    <xdr:col>11</xdr:col>
                    <xdr:colOff>0</xdr:colOff>
                    <xdr:row>10</xdr:row>
                    <xdr:rowOff>171450</xdr:rowOff>
                  </from>
                  <to>
                    <xdr:col>12</xdr:col>
                    <xdr:colOff>520700</xdr:colOff>
                    <xdr:row>12</xdr:row>
                    <xdr:rowOff>19050</xdr:rowOff>
                  </to>
                </anchor>
              </controlPr>
            </control>
          </mc:Choice>
        </mc:AlternateContent>
        <mc:AlternateContent xmlns:mc="http://schemas.openxmlformats.org/markup-compatibility/2006">
          <mc:Choice Requires="x14">
            <control shapeId="25661" r:id="rId63" name="Check Box 61">
              <controlPr defaultSize="0" autoFill="0" autoLine="0" autoPict="0">
                <anchor moveWithCells="1">
                  <from>
                    <xdr:col>11</xdr:col>
                    <xdr:colOff>0</xdr:colOff>
                    <xdr:row>11</xdr:row>
                    <xdr:rowOff>171450</xdr:rowOff>
                  </from>
                  <to>
                    <xdr:col>12</xdr:col>
                    <xdr:colOff>520700</xdr:colOff>
                    <xdr:row>13</xdr:row>
                    <xdr:rowOff>19050</xdr:rowOff>
                  </to>
                </anchor>
              </controlPr>
            </control>
          </mc:Choice>
        </mc:AlternateContent>
        <mc:AlternateContent xmlns:mc="http://schemas.openxmlformats.org/markup-compatibility/2006">
          <mc:Choice Requires="x14">
            <control shapeId="25662" r:id="rId64" name="Check Box 62">
              <controlPr defaultSize="0" autoFill="0" autoLine="0" autoPict="0">
                <anchor moveWithCells="1">
                  <from>
                    <xdr:col>11</xdr:col>
                    <xdr:colOff>0</xdr:colOff>
                    <xdr:row>12</xdr:row>
                    <xdr:rowOff>171450</xdr:rowOff>
                  </from>
                  <to>
                    <xdr:col>12</xdr:col>
                    <xdr:colOff>520700</xdr:colOff>
                    <xdr:row>14</xdr:row>
                    <xdr:rowOff>19050</xdr:rowOff>
                  </to>
                </anchor>
              </controlPr>
            </control>
          </mc:Choice>
        </mc:AlternateContent>
        <mc:AlternateContent xmlns:mc="http://schemas.openxmlformats.org/markup-compatibility/2006">
          <mc:Choice Requires="x14">
            <control shapeId="25663" r:id="rId65" name="Check Box 63">
              <controlPr defaultSize="0" autoFill="0" autoLine="0" autoPict="0">
                <anchor moveWithCells="1">
                  <from>
                    <xdr:col>11</xdr:col>
                    <xdr:colOff>0</xdr:colOff>
                    <xdr:row>13</xdr:row>
                    <xdr:rowOff>171450</xdr:rowOff>
                  </from>
                  <to>
                    <xdr:col>12</xdr:col>
                    <xdr:colOff>520700</xdr:colOff>
                    <xdr:row>15</xdr:row>
                    <xdr:rowOff>19050</xdr:rowOff>
                  </to>
                </anchor>
              </controlPr>
            </control>
          </mc:Choice>
        </mc:AlternateContent>
        <mc:AlternateContent xmlns:mc="http://schemas.openxmlformats.org/markup-compatibility/2006">
          <mc:Choice Requires="x14">
            <control shapeId="25664" r:id="rId66" name="Check Box 64">
              <controlPr defaultSize="0" autoFill="0" autoLine="0" autoPict="0">
                <anchor moveWithCells="1">
                  <from>
                    <xdr:col>11</xdr:col>
                    <xdr:colOff>0</xdr:colOff>
                    <xdr:row>14</xdr:row>
                    <xdr:rowOff>171450</xdr:rowOff>
                  </from>
                  <to>
                    <xdr:col>12</xdr:col>
                    <xdr:colOff>520700</xdr:colOff>
                    <xdr:row>16</xdr:row>
                    <xdr:rowOff>19050</xdr:rowOff>
                  </to>
                </anchor>
              </controlPr>
            </control>
          </mc:Choice>
        </mc:AlternateContent>
        <mc:AlternateContent xmlns:mc="http://schemas.openxmlformats.org/markup-compatibility/2006">
          <mc:Choice Requires="x14">
            <control shapeId="25665" r:id="rId67" name="Check Box 65">
              <controlPr defaultSize="0" autoFill="0" autoLine="0" autoPict="0">
                <anchor moveWithCells="1">
                  <from>
                    <xdr:col>11</xdr:col>
                    <xdr:colOff>0</xdr:colOff>
                    <xdr:row>15</xdr:row>
                    <xdr:rowOff>171450</xdr:rowOff>
                  </from>
                  <to>
                    <xdr:col>12</xdr:col>
                    <xdr:colOff>520700</xdr:colOff>
                    <xdr:row>17</xdr:row>
                    <xdr:rowOff>19050</xdr:rowOff>
                  </to>
                </anchor>
              </controlPr>
            </control>
          </mc:Choice>
        </mc:AlternateContent>
        <mc:AlternateContent xmlns:mc="http://schemas.openxmlformats.org/markup-compatibility/2006">
          <mc:Choice Requires="x14">
            <control shapeId="25666" r:id="rId68" name="Check Box 66">
              <controlPr defaultSize="0" autoFill="0" autoLine="0" autoPict="0">
                <anchor moveWithCells="1">
                  <from>
                    <xdr:col>11</xdr:col>
                    <xdr:colOff>0</xdr:colOff>
                    <xdr:row>16</xdr:row>
                    <xdr:rowOff>171450</xdr:rowOff>
                  </from>
                  <to>
                    <xdr:col>12</xdr:col>
                    <xdr:colOff>520700</xdr:colOff>
                    <xdr:row>18</xdr:row>
                    <xdr:rowOff>19050</xdr:rowOff>
                  </to>
                </anchor>
              </controlPr>
            </control>
          </mc:Choice>
        </mc:AlternateContent>
        <mc:AlternateContent xmlns:mc="http://schemas.openxmlformats.org/markup-compatibility/2006">
          <mc:Choice Requires="x14">
            <control shapeId="25667" r:id="rId69" name="Check Box 67">
              <controlPr defaultSize="0" autoFill="0" autoLine="0" autoPict="0">
                <anchor moveWithCells="1">
                  <from>
                    <xdr:col>11</xdr:col>
                    <xdr:colOff>0</xdr:colOff>
                    <xdr:row>17</xdr:row>
                    <xdr:rowOff>171450</xdr:rowOff>
                  </from>
                  <to>
                    <xdr:col>12</xdr:col>
                    <xdr:colOff>520700</xdr:colOff>
                    <xdr:row>19</xdr:row>
                    <xdr:rowOff>19050</xdr:rowOff>
                  </to>
                </anchor>
              </controlPr>
            </control>
          </mc:Choice>
        </mc:AlternateContent>
        <mc:AlternateContent xmlns:mc="http://schemas.openxmlformats.org/markup-compatibility/2006">
          <mc:Choice Requires="x14">
            <control shapeId="25668" r:id="rId70" name="Check Box 68">
              <controlPr defaultSize="0" autoFill="0" autoLine="0" autoPict="0">
                <anchor moveWithCells="1">
                  <from>
                    <xdr:col>11</xdr:col>
                    <xdr:colOff>0</xdr:colOff>
                    <xdr:row>18</xdr:row>
                    <xdr:rowOff>171450</xdr:rowOff>
                  </from>
                  <to>
                    <xdr:col>12</xdr:col>
                    <xdr:colOff>520700</xdr:colOff>
                    <xdr:row>20</xdr:row>
                    <xdr:rowOff>19050</xdr:rowOff>
                  </to>
                </anchor>
              </controlPr>
            </control>
          </mc:Choice>
        </mc:AlternateContent>
        <mc:AlternateContent xmlns:mc="http://schemas.openxmlformats.org/markup-compatibility/2006">
          <mc:Choice Requires="x14">
            <control shapeId="25669" r:id="rId71" name="Check Box 69">
              <controlPr defaultSize="0" autoFill="0" autoLine="0" autoPict="0">
                <anchor moveWithCells="1">
                  <from>
                    <xdr:col>11</xdr:col>
                    <xdr:colOff>0</xdr:colOff>
                    <xdr:row>19</xdr:row>
                    <xdr:rowOff>171450</xdr:rowOff>
                  </from>
                  <to>
                    <xdr:col>12</xdr:col>
                    <xdr:colOff>520700</xdr:colOff>
                    <xdr:row>21</xdr:row>
                    <xdr:rowOff>19050</xdr:rowOff>
                  </to>
                </anchor>
              </controlPr>
            </control>
          </mc:Choice>
        </mc:AlternateContent>
        <mc:AlternateContent xmlns:mc="http://schemas.openxmlformats.org/markup-compatibility/2006">
          <mc:Choice Requires="x14">
            <control shapeId="25670" r:id="rId72" name="Check Box 70">
              <controlPr defaultSize="0" autoFill="0" autoLine="0" autoPict="0">
                <anchor moveWithCells="1">
                  <from>
                    <xdr:col>11</xdr:col>
                    <xdr:colOff>0</xdr:colOff>
                    <xdr:row>20</xdr:row>
                    <xdr:rowOff>171450</xdr:rowOff>
                  </from>
                  <to>
                    <xdr:col>12</xdr:col>
                    <xdr:colOff>520700</xdr:colOff>
                    <xdr:row>22</xdr:row>
                    <xdr:rowOff>19050</xdr:rowOff>
                  </to>
                </anchor>
              </controlPr>
            </control>
          </mc:Choice>
        </mc:AlternateContent>
        <mc:AlternateContent xmlns:mc="http://schemas.openxmlformats.org/markup-compatibility/2006">
          <mc:Choice Requires="x14">
            <control shapeId="25671" r:id="rId73" name="Check Box 71">
              <controlPr defaultSize="0" autoFill="0" autoLine="0" autoPict="0">
                <anchor moveWithCells="1">
                  <from>
                    <xdr:col>11</xdr:col>
                    <xdr:colOff>0</xdr:colOff>
                    <xdr:row>21</xdr:row>
                    <xdr:rowOff>171450</xdr:rowOff>
                  </from>
                  <to>
                    <xdr:col>12</xdr:col>
                    <xdr:colOff>520700</xdr:colOff>
                    <xdr:row>23</xdr:row>
                    <xdr:rowOff>19050</xdr:rowOff>
                  </to>
                </anchor>
              </controlPr>
            </control>
          </mc:Choice>
        </mc:AlternateContent>
        <mc:AlternateContent xmlns:mc="http://schemas.openxmlformats.org/markup-compatibility/2006">
          <mc:Choice Requires="x14">
            <control shapeId="25672" r:id="rId74" name="Check Box 72">
              <controlPr defaultSize="0" autoFill="0" autoLine="0" autoPict="0">
                <anchor moveWithCells="1">
                  <from>
                    <xdr:col>11</xdr:col>
                    <xdr:colOff>0</xdr:colOff>
                    <xdr:row>22</xdr:row>
                    <xdr:rowOff>171450</xdr:rowOff>
                  </from>
                  <to>
                    <xdr:col>12</xdr:col>
                    <xdr:colOff>520700</xdr:colOff>
                    <xdr:row>24</xdr:row>
                    <xdr:rowOff>19050</xdr:rowOff>
                  </to>
                </anchor>
              </controlPr>
            </control>
          </mc:Choice>
        </mc:AlternateContent>
        <mc:AlternateContent xmlns:mc="http://schemas.openxmlformats.org/markup-compatibility/2006">
          <mc:Choice Requires="x14">
            <control shapeId="25673" r:id="rId75" name="Check Box 73">
              <controlPr defaultSize="0" autoFill="0" autoLine="0" autoPict="0">
                <anchor moveWithCells="1">
                  <from>
                    <xdr:col>11</xdr:col>
                    <xdr:colOff>0</xdr:colOff>
                    <xdr:row>23</xdr:row>
                    <xdr:rowOff>171450</xdr:rowOff>
                  </from>
                  <to>
                    <xdr:col>12</xdr:col>
                    <xdr:colOff>520700</xdr:colOff>
                    <xdr:row>25</xdr:row>
                    <xdr:rowOff>19050</xdr:rowOff>
                  </to>
                </anchor>
              </controlPr>
            </control>
          </mc:Choice>
        </mc:AlternateContent>
        <mc:AlternateContent xmlns:mc="http://schemas.openxmlformats.org/markup-compatibility/2006">
          <mc:Choice Requires="x14">
            <control shapeId="25674" r:id="rId76" name="Check Box 74">
              <controlPr defaultSize="0" autoFill="0" autoLine="0" autoPict="0">
                <anchor moveWithCells="1">
                  <from>
                    <xdr:col>11</xdr:col>
                    <xdr:colOff>0</xdr:colOff>
                    <xdr:row>24</xdr:row>
                    <xdr:rowOff>171450</xdr:rowOff>
                  </from>
                  <to>
                    <xdr:col>12</xdr:col>
                    <xdr:colOff>520700</xdr:colOff>
                    <xdr:row>26</xdr:row>
                    <xdr:rowOff>19050</xdr:rowOff>
                  </to>
                </anchor>
              </controlPr>
            </control>
          </mc:Choice>
        </mc:AlternateContent>
        <mc:AlternateContent xmlns:mc="http://schemas.openxmlformats.org/markup-compatibility/2006">
          <mc:Choice Requires="x14">
            <control shapeId="25675" r:id="rId77" name="Check Box 75">
              <controlPr defaultSize="0" autoFill="0" autoLine="0" autoPict="0">
                <anchor moveWithCells="1">
                  <from>
                    <xdr:col>11</xdr:col>
                    <xdr:colOff>0</xdr:colOff>
                    <xdr:row>25</xdr:row>
                    <xdr:rowOff>171450</xdr:rowOff>
                  </from>
                  <to>
                    <xdr:col>12</xdr:col>
                    <xdr:colOff>520700</xdr:colOff>
                    <xdr:row>27</xdr:row>
                    <xdr:rowOff>19050</xdr:rowOff>
                  </to>
                </anchor>
              </controlPr>
            </control>
          </mc:Choice>
        </mc:AlternateContent>
        <mc:AlternateContent xmlns:mc="http://schemas.openxmlformats.org/markup-compatibility/2006">
          <mc:Choice Requires="x14">
            <control shapeId="25676" r:id="rId78" name="Check Box 76">
              <controlPr defaultSize="0" autoFill="0" autoLine="0" autoPict="0">
                <anchor moveWithCells="1">
                  <from>
                    <xdr:col>11</xdr:col>
                    <xdr:colOff>0</xdr:colOff>
                    <xdr:row>26</xdr:row>
                    <xdr:rowOff>171450</xdr:rowOff>
                  </from>
                  <to>
                    <xdr:col>12</xdr:col>
                    <xdr:colOff>520700</xdr:colOff>
                    <xdr:row>28</xdr:row>
                    <xdr:rowOff>19050</xdr:rowOff>
                  </to>
                </anchor>
              </controlPr>
            </control>
          </mc:Choice>
        </mc:AlternateContent>
        <mc:AlternateContent xmlns:mc="http://schemas.openxmlformats.org/markup-compatibility/2006">
          <mc:Choice Requires="x14">
            <control shapeId="25677" r:id="rId79" name="Check Box 77">
              <controlPr defaultSize="0" autoFill="0" autoLine="0" autoPict="0">
                <anchor moveWithCells="1">
                  <from>
                    <xdr:col>11</xdr:col>
                    <xdr:colOff>0</xdr:colOff>
                    <xdr:row>27</xdr:row>
                    <xdr:rowOff>171450</xdr:rowOff>
                  </from>
                  <to>
                    <xdr:col>12</xdr:col>
                    <xdr:colOff>520700</xdr:colOff>
                    <xdr:row>29</xdr:row>
                    <xdr:rowOff>19050</xdr:rowOff>
                  </to>
                </anchor>
              </controlPr>
            </control>
          </mc:Choice>
        </mc:AlternateContent>
        <mc:AlternateContent xmlns:mc="http://schemas.openxmlformats.org/markup-compatibility/2006">
          <mc:Choice Requires="x14">
            <control shapeId="25678" r:id="rId80" name="Check Box 78">
              <controlPr defaultSize="0" autoFill="0" autoLine="0" autoPict="0">
                <anchor moveWithCells="1">
                  <from>
                    <xdr:col>11</xdr:col>
                    <xdr:colOff>0</xdr:colOff>
                    <xdr:row>28</xdr:row>
                    <xdr:rowOff>171450</xdr:rowOff>
                  </from>
                  <to>
                    <xdr:col>12</xdr:col>
                    <xdr:colOff>520700</xdr:colOff>
                    <xdr:row>30</xdr:row>
                    <xdr:rowOff>19050</xdr:rowOff>
                  </to>
                </anchor>
              </controlPr>
            </control>
          </mc:Choice>
        </mc:AlternateContent>
        <mc:AlternateContent xmlns:mc="http://schemas.openxmlformats.org/markup-compatibility/2006">
          <mc:Choice Requires="x14">
            <control shapeId="25679" r:id="rId81" name="Check Box 79">
              <controlPr defaultSize="0" autoFill="0" autoLine="0" autoPict="0">
                <anchor moveWithCells="1">
                  <from>
                    <xdr:col>11</xdr:col>
                    <xdr:colOff>0</xdr:colOff>
                    <xdr:row>29</xdr:row>
                    <xdr:rowOff>171450</xdr:rowOff>
                  </from>
                  <to>
                    <xdr:col>12</xdr:col>
                    <xdr:colOff>520700</xdr:colOff>
                    <xdr:row>31</xdr:row>
                    <xdr:rowOff>19050</xdr:rowOff>
                  </to>
                </anchor>
              </controlPr>
            </control>
          </mc:Choice>
        </mc:AlternateContent>
        <mc:AlternateContent xmlns:mc="http://schemas.openxmlformats.org/markup-compatibility/2006">
          <mc:Choice Requires="x14">
            <control shapeId="25680" r:id="rId82" name="Check Box 80">
              <controlPr defaultSize="0" autoFill="0" autoLine="0" autoPict="0">
                <anchor moveWithCells="1">
                  <from>
                    <xdr:col>11</xdr:col>
                    <xdr:colOff>0</xdr:colOff>
                    <xdr:row>30</xdr:row>
                    <xdr:rowOff>171450</xdr:rowOff>
                  </from>
                  <to>
                    <xdr:col>12</xdr:col>
                    <xdr:colOff>520700</xdr:colOff>
                    <xdr:row>32</xdr:row>
                    <xdr:rowOff>19050</xdr:rowOff>
                  </to>
                </anchor>
              </controlPr>
            </control>
          </mc:Choice>
        </mc:AlternateContent>
        <mc:AlternateContent xmlns:mc="http://schemas.openxmlformats.org/markup-compatibility/2006">
          <mc:Choice Requires="x14">
            <control shapeId="25681" r:id="rId83" name="Check Box 81">
              <controlPr defaultSize="0" autoFill="0" autoLine="0" autoPict="0">
                <anchor moveWithCells="1">
                  <from>
                    <xdr:col>11</xdr:col>
                    <xdr:colOff>0</xdr:colOff>
                    <xdr:row>31</xdr:row>
                    <xdr:rowOff>171450</xdr:rowOff>
                  </from>
                  <to>
                    <xdr:col>12</xdr:col>
                    <xdr:colOff>520700</xdr:colOff>
                    <xdr:row>33</xdr:row>
                    <xdr:rowOff>12700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9EC86-A6A7-47F0-8827-B1A562EC5948}">
  <sheetPr codeName="Sheet10">
    <tabColor theme="4" tint="0.79998168889431442"/>
  </sheetPr>
  <dimension ref="A1"/>
  <sheetViews>
    <sheetView workbookViewId="0">
      <selection activeCell="K29" sqref="K29"/>
    </sheetView>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13</vt:i4>
      </vt:variant>
    </vt:vector>
  </HeadingPairs>
  <TitlesOfParts>
    <vt:vector size="25" baseType="lpstr">
      <vt:lpstr>Directory</vt:lpstr>
      <vt:lpstr>Dashboard</vt:lpstr>
      <vt:lpstr>#1 Trip Dreaming</vt:lpstr>
      <vt:lpstr>Itinerary Calendar</vt:lpstr>
      <vt:lpstr>Itinerary</vt:lpstr>
      <vt:lpstr>Itinerary-CODE</vt:lpstr>
      <vt:lpstr>#2 Accomodations</vt:lpstr>
      <vt:lpstr>#3 Transportation</vt:lpstr>
      <vt:lpstr>#4 Building a Budget</vt:lpstr>
      <vt:lpstr>#5 Packing List</vt:lpstr>
      <vt:lpstr>#6 Booking Checklist</vt:lpstr>
      <vt:lpstr>Plan Checklist</vt:lpstr>
      <vt:lpstr>'Itinerary Calendar'!CalendarYear</vt:lpstr>
      <vt:lpstr>CalendarYear</vt:lpstr>
      <vt:lpstr>'Itinerary Calendar'!ColumnTitleRegion1..H12.1</vt:lpstr>
      <vt:lpstr>'Itinerary Calendar'!ColumnTitleRegion2..C14.1</vt:lpstr>
      <vt:lpstr>DreamStartDate</vt:lpstr>
      <vt:lpstr>DreamStartMonth</vt:lpstr>
      <vt:lpstr>DreamStartMonth2</vt:lpstr>
      <vt:lpstr>DreamStartMonth3</vt:lpstr>
      <vt:lpstr>DreamStartYear</vt:lpstr>
      <vt:lpstr>'Itinerary Calendar'!Print_Area</vt:lpstr>
      <vt:lpstr>'Itinerary Calendar'!RowTitleRegion1..K3</vt:lpstr>
      <vt:lpstr>WeekStart</vt:lpstr>
      <vt:lpstr>WeekStart1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Hayley Boll</dc:creator>
  <cp:lastModifiedBy>Hayley Boll</cp:lastModifiedBy>
  <dcterms:created xsi:type="dcterms:W3CDTF">2022-09-05T18:25:37Z</dcterms:created>
  <dcterms:modified xsi:type="dcterms:W3CDTF">2023-03-10T23:05:39Z</dcterms:modified>
</cp:coreProperties>
</file>